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Estudiantes\Downloads\"/>
    </mc:Choice>
  </mc:AlternateContent>
  <xr:revisionPtr revIDLastSave="0" documentId="8_{DF46CDC6-FFA7-4F52-BD5B-126D13C9F7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B33" i="1"/>
  <c r="I33" i="1"/>
  <c r="L75" i="1"/>
  <c r="I34" i="1"/>
  <c r="H34" i="1"/>
  <c r="G34" i="1"/>
  <c r="F34" i="1"/>
  <c r="E34" i="1"/>
  <c r="D34" i="1"/>
  <c r="C34" i="1"/>
  <c r="H33" i="1"/>
  <c r="G33" i="1"/>
  <c r="F33" i="1"/>
  <c r="E33" i="1"/>
  <c r="D33" i="1"/>
  <c r="C33" i="1"/>
  <c r="P3" i="1" a="1"/>
  <c r="P3" i="1" s="1"/>
  <c r="U4" i="1"/>
  <c r="R3" i="1" l="1" a="1"/>
  <c r="R3" i="1" l="1"/>
  <c r="P14" i="1" a="1"/>
  <c r="P14" i="1" l="1"/>
  <c r="M47" i="1" a="1"/>
  <c r="M47" i="1" s="1"/>
  <c r="V47" i="1" l="1" a="1"/>
  <c r="V47" i="1" s="1"/>
  <c r="AD33" i="1" s="1" a="1"/>
  <c r="AD33" i="1" s="1"/>
  <c r="AF46" i="1" s="1" a="1"/>
  <c r="AF46" i="1" s="1"/>
  <c r="AF58" i="1" s="1" a="1"/>
  <c r="AM78" i="1" s="1"/>
  <c r="Y85" i="1" l="1"/>
  <c r="AG72" i="1"/>
  <c r="AA87" i="1"/>
  <c r="AH73" i="1"/>
  <c r="X84" i="1"/>
  <c r="AJ75" i="1"/>
  <c r="AD90" i="1"/>
  <c r="AI74" i="1"/>
  <c r="AF58" i="1"/>
  <c r="AC89" i="1"/>
  <c r="AK76" i="1"/>
  <c r="AL77" i="1"/>
  <c r="Z86" i="1"/>
  <c r="AB88" i="1"/>
  <c r="AF71" i="1"/>
  <c r="W83" i="1"/>
  <c r="W95" i="1" s="1" a="1"/>
  <c r="W95" i="1" s="1"/>
  <c r="AG95" i="1" s="1" a="1"/>
  <c r="AG9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<sst xmlns="http://schemas.openxmlformats.org/spreadsheetml/2006/main" count="11" uniqueCount="11">
  <si>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Obs.</t>
  </si>
  <si>
    <t>sexo</t>
  </si>
  <si>
    <t>est</t>
  </si>
  <si>
    <t>pes</t>
  </si>
  <si>
    <t>pie</t>
  </si>
  <si>
    <t>lbr</t>
  </si>
  <si>
    <t>aes</t>
  </si>
  <si>
    <t>dcr</t>
  </si>
  <si>
    <t>lrt</t>
  </si>
  <si>
    <t>Varianza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</si>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</sst>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Arial"/>
      <charset val="1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rgb="FF6666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fill>
        <patternFill patternType="solid">
          <fgColor rgb="FF666699"/>
          <bgColor theme="7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3426EC-A047-4383-8141-FE2BF2DD58BA}" name="Tabla1" displayName="Tabla1" ref="A3:I30" totalsRowShown="0" headerRowDxfId="0" dataDxfId="1" tableBorderDxfId="11">
  <autoFilter ref="A3:I30" xr:uid="{BF3426EC-A047-4383-8141-FE2BF2DD58BA}"/>
  <tableColumns count="9">
    <tableColumn id="1" xr3:uid="{1BCF3E76-409F-4018-9127-6164C0A6D285}" name="Obs." dataDxfId="10"/>
    <tableColumn id="2" xr3:uid="{0A53C0EC-118B-4728-93A9-AA4536F151FE}" name="sexo" dataDxfId="9"/>
    <tableColumn id="3" xr3:uid="{1EEB6818-D98F-4C78-B3BA-7E419C4D337C}" name="est" dataDxfId="8"/>
    <tableColumn id="4" xr3:uid="{17FC0306-A44E-4232-BDAD-BB5226C2E507}" name="pes" dataDxfId="7"/>
    <tableColumn id="5" xr3:uid="{F146E9CB-10AD-45BD-8ADF-A9E1CE36C96C}" name="pie" dataDxfId="6"/>
    <tableColumn id="6" xr3:uid="{CB33EBDF-56EE-46D9-AF6C-A3FBCE443948}" name="lbr" dataDxfId="5"/>
    <tableColumn id="7" xr3:uid="{ACB2CAD8-DCBA-4E55-A5B4-0B159F4E5B4C}" name="aes" dataDxfId="4"/>
    <tableColumn id="8" xr3:uid="{7C64BFE3-E1E8-4AF4-B77C-9DA2548BEFA0}" name="dcr" dataDxfId="3"/>
    <tableColumn id="9" xr3:uid="{7E6BF1C5-BFFA-4993-98FC-21394D0260C5}" name="lrt" dataDxfId="2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K102"/>
  <sheetViews>
    <sheetView tabSelected="1" topLeftCell="S49" zoomScale="124" zoomScaleNormal="124" workbookViewId="0">
      <selection activeCell="AF99" sqref="AF99"/>
    </sheetView>
  </sheetViews>
  <sheetFormatPr baseColWidth="10" defaultColWidth="8.7109375" defaultRowHeight="15"/>
  <cols>
    <col min="1" max="1" width="10.28515625" style="3" bestFit="1" customWidth="1"/>
    <col min="2" max="2" width="8.7109375" style="3"/>
    <col min="3" max="10" width="12.85546875" style="3"/>
    <col min="11" max="11" width="9.5703125" style="3" customWidth="1"/>
    <col min="12" max="12" width="14" style="3"/>
    <col min="13" max="14" width="12.85546875" style="3"/>
    <col min="15" max="15" width="12.28515625" style="3" customWidth="1"/>
    <col min="16" max="16" width="13.140625" style="3" bestFit="1" customWidth="1"/>
    <col min="17" max="17" width="12.85546875" style="3"/>
    <col min="18" max="18" width="13.140625" style="3" bestFit="1" customWidth="1"/>
    <col min="19" max="19" width="11.7109375" style="3"/>
    <col min="20" max="20" width="8.7109375" style="3"/>
    <col min="21" max="21" width="12.28515625" style="3" bestFit="1" customWidth="1"/>
    <col min="22" max="22" width="14" style="3"/>
    <col min="23" max="29" width="12.85546875" style="3"/>
    <col min="30" max="31" width="8.7109375" style="3"/>
    <col min="32" max="36" width="14.140625" style="3" bestFit="1" customWidth="1"/>
    <col min="37" max="38" width="13.42578125" style="3" bestFit="1" customWidth="1"/>
    <col min="39" max="39" width="14.140625" style="3" customWidth="1"/>
    <col min="40" max="40" width="9.42578125" style="3" customWidth="1"/>
    <col min="41" max="63" width="8.7109375" style="3"/>
  </cols>
  <sheetData>
    <row r="3" spans="1:23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K3" s="2">
        <v>1</v>
      </c>
      <c r="P3" s="2" cm="1">
        <f t="array" ref="P3:P10">+MMULT(Q20:AQ27,K3:K29)</f>
        <v>12</v>
      </c>
      <c r="Q3" s="4"/>
      <c r="R3" s="2" cm="1">
        <f t="array" ref="R3:R10">+U4*_xlfn.ANCHORARRAY(P3)</f>
        <v>0.44444444444444442</v>
      </c>
    </row>
    <row r="4" spans="1:23">
      <c r="A4" s="1">
        <v>1</v>
      </c>
      <c r="B4" s="1">
        <v>0</v>
      </c>
      <c r="C4" s="1">
        <v>159</v>
      </c>
      <c r="D4" s="1">
        <v>49</v>
      </c>
      <c r="E4" s="1">
        <v>36</v>
      </c>
      <c r="F4" s="1">
        <v>68</v>
      </c>
      <c r="G4" s="1">
        <v>42</v>
      </c>
      <c r="H4" s="1">
        <v>57</v>
      </c>
      <c r="I4" s="1">
        <v>40</v>
      </c>
      <c r="K4" s="2">
        <v>1</v>
      </c>
      <c r="P4" s="2">
        <v>4557</v>
      </c>
      <c r="Q4" s="4"/>
      <c r="R4" s="2">
        <v>168.77777777777777</v>
      </c>
      <c r="U4" s="2">
        <f>1/27</f>
        <v>3.7037037037037035E-2</v>
      </c>
    </row>
    <row r="5" spans="1:23">
      <c r="A5" s="1">
        <v>2</v>
      </c>
      <c r="B5" s="1">
        <v>1</v>
      </c>
      <c r="C5" s="1">
        <v>164</v>
      </c>
      <c r="D5" s="1">
        <v>62</v>
      </c>
      <c r="E5" s="1">
        <v>39</v>
      </c>
      <c r="F5" s="1">
        <v>73</v>
      </c>
      <c r="G5" s="1">
        <v>44</v>
      </c>
      <c r="H5" s="1">
        <v>55</v>
      </c>
      <c r="I5" s="1">
        <v>44</v>
      </c>
      <c r="K5" s="2">
        <v>1</v>
      </c>
      <c r="P5" s="2">
        <v>1725</v>
      </c>
      <c r="Q5" s="4"/>
      <c r="R5" s="2">
        <v>63.888888888888886</v>
      </c>
    </row>
    <row r="6" spans="1:23">
      <c r="A6" s="1">
        <v>3</v>
      </c>
      <c r="B6" s="1">
        <v>0</v>
      </c>
      <c r="C6" s="1">
        <v>172</v>
      </c>
      <c r="D6" s="1">
        <v>65</v>
      </c>
      <c r="E6" s="1">
        <v>38</v>
      </c>
      <c r="F6" s="1">
        <v>75</v>
      </c>
      <c r="G6" s="1">
        <v>48</v>
      </c>
      <c r="H6" s="1">
        <v>58</v>
      </c>
      <c r="I6" s="1">
        <v>44</v>
      </c>
      <c r="K6" s="2">
        <v>1</v>
      </c>
      <c r="P6" s="2">
        <v>1052.5</v>
      </c>
      <c r="Q6" s="4"/>
      <c r="R6" s="2">
        <v>38.981481481481481</v>
      </c>
    </row>
    <row r="7" spans="1:23">
      <c r="A7" s="1">
        <v>4</v>
      </c>
      <c r="B7" s="1">
        <v>0</v>
      </c>
      <c r="C7" s="1">
        <v>167</v>
      </c>
      <c r="D7" s="1">
        <v>52</v>
      </c>
      <c r="E7" s="1">
        <v>37</v>
      </c>
      <c r="F7" s="1">
        <v>73</v>
      </c>
      <c r="G7" s="1">
        <v>41.5</v>
      </c>
      <c r="H7" s="1">
        <v>58</v>
      </c>
      <c r="I7" s="1">
        <v>44</v>
      </c>
      <c r="K7" s="2">
        <v>1</v>
      </c>
      <c r="P7" s="2">
        <v>1983.5</v>
      </c>
      <c r="Q7" s="4"/>
      <c r="R7" s="2">
        <v>73.462962962962962</v>
      </c>
    </row>
    <row r="8" spans="1:23">
      <c r="A8" s="1">
        <v>5</v>
      </c>
      <c r="B8" s="1">
        <v>0</v>
      </c>
      <c r="C8" s="1">
        <v>164</v>
      </c>
      <c r="D8" s="1">
        <v>51</v>
      </c>
      <c r="E8" s="1">
        <v>36</v>
      </c>
      <c r="F8" s="1">
        <v>71</v>
      </c>
      <c r="G8" s="1">
        <v>44.5</v>
      </c>
      <c r="H8" s="1">
        <v>54</v>
      </c>
      <c r="I8" s="1">
        <v>40</v>
      </c>
      <c r="K8" s="2">
        <v>1</v>
      </c>
      <c r="P8" s="2">
        <v>1238</v>
      </c>
      <c r="Q8" s="4"/>
      <c r="R8" s="2">
        <v>45.851851851851848</v>
      </c>
    </row>
    <row r="9" spans="1:23">
      <c r="A9" s="1">
        <v>6</v>
      </c>
      <c r="B9" s="1">
        <v>0</v>
      </c>
      <c r="C9" s="1">
        <v>161</v>
      </c>
      <c r="D9" s="1">
        <v>67</v>
      </c>
      <c r="E9" s="1">
        <v>38</v>
      </c>
      <c r="F9" s="1">
        <v>71</v>
      </c>
      <c r="G9" s="1">
        <v>44</v>
      </c>
      <c r="H9" s="1">
        <v>56</v>
      </c>
      <c r="I9" s="1">
        <v>42</v>
      </c>
      <c r="K9" s="2">
        <v>1</v>
      </c>
      <c r="P9" s="2">
        <v>1545.5</v>
      </c>
      <c r="Q9" s="4"/>
      <c r="R9" s="2">
        <v>57.24074074074074</v>
      </c>
    </row>
    <row r="10" spans="1:23">
      <c r="A10" s="1">
        <v>7</v>
      </c>
      <c r="B10" s="1">
        <v>0</v>
      </c>
      <c r="C10" s="1">
        <v>168</v>
      </c>
      <c r="D10" s="1">
        <v>48</v>
      </c>
      <c r="E10" s="1">
        <v>39</v>
      </c>
      <c r="F10" s="1">
        <v>72.5</v>
      </c>
      <c r="G10" s="1">
        <v>41</v>
      </c>
      <c r="H10" s="1">
        <v>54.5</v>
      </c>
      <c r="I10" s="1">
        <v>43</v>
      </c>
      <c r="K10" s="2">
        <v>1</v>
      </c>
      <c r="P10" s="2">
        <v>1163.5</v>
      </c>
      <c r="Q10" s="4"/>
      <c r="R10" s="2">
        <v>43.092592592592588</v>
      </c>
    </row>
    <row r="11" spans="1:23">
      <c r="A11" s="1">
        <v>8</v>
      </c>
      <c r="B11" s="1">
        <v>1</v>
      </c>
      <c r="C11" s="1">
        <v>181</v>
      </c>
      <c r="D11" s="1">
        <v>74</v>
      </c>
      <c r="E11" s="1">
        <v>43</v>
      </c>
      <c r="F11" s="1">
        <v>74</v>
      </c>
      <c r="G11" s="1">
        <v>50</v>
      </c>
      <c r="H11" s="1">
        <v>60</v>
      </c>
      <c r="I11" s="1">
        <v>47</v>
      </c>
      <c r="K11" s="2">
        <v>1</v>
      </c>
      <c r="Q11" s="4"/>
    </row>
    <row r="12" spans="1:23">
      <c r="A12" s="1">
        <v>9</v>
      </c>
      <c r="B12" s="1">
        <v>1</v>
      </c>
      <c r="C12" s="1">
        <v>183</v>
      </c>
      <c r="D12" s="1">
        <v>74</v>
      </c>
      <c r="E12" s="1">
        <v>41</v>
      </c>
      <c r="F12" s="1">
        <v>79</v>
      </c>
      <c r="G12" s="1">
        <v>47.5</v>
      </c>
      <c r="H12" s="1">
        <v>59.5</v>
      </c>
      <c r="I12" s="1">
        <v>47</v>
      </c>
      <c r="K12" s="2">
        <v>1</v>
      </c>
    </row>
    <row r="13" spans="1:23">
      <c r="A13" s="1">
        <v>10</v>
      </c>
      <c r="B13" s="1">
        <v>0</v>
      </c>
      <c r="C13" s="1">
        <v>158</v>
      </c>
      <c r="D13" s="1">
        <v>50</v>
      </c>
      <c r="E13" s="1">
        <v>36</v>
      </c>
      <c r="F13" s="1">
        <v>68.5</v>
      </c>
      <c r="G13" s="1">
        <v>44</v>
      </c>
      <c r="H13" s="1">
        <v>57</v>
      </c>
      <c r="I13" s="1">
        <v>41</v>
      </c>
      <c r="K13" s="2">
        <v>1</v>
      </c>
    </row>
    <row r="14" spans="1:23">
      <c r="A14" s="1">
        <v>11</v>
      </c>
      <c r="B14" s="1">
        <v>0</v>
      </c>
      <c r="C14" s="1">
        <v>156</v>
      </c>
      <c r="D14" s="1">
        <v>65</v>
      </c>
      <c r="E14" s="1">
        <v>36</v>
      </c>
      <c r="F14" s="1">
        <v>68</v>
      </c>
      <c r="G14" s="1">
        <v>46</v>
      </c>
      <c r="H14" s="1">
        <v>58</v>
      </c>
      <c r="I14" s="1">
        <v>41</v>
      </c>
      <c r="K14" s="2">
        <v>1</v>
      </c>
      <c r="P14" s="5" cm="1">
        <f t="array" ref="P14:W14">TRANSPOSE(_xlfn.ANCHORARRAY(R3))</f>
        <v>0.44444444444444442</v>
      </c>
      <c r="Q14" s="5">
        <v>168.77777777777777</v>
      </c>
      <c r="R14" s="5">
        <v>63.888888888888886</v>
      </c>
      <c r="S14" s="5">
        <v>38.981481481481481</v>
      </c>
      <c r="T14" s="5">
        <v>73.462962962962962</v>
      </c>
      <c r="U14" s="5">
        <v>45.851851851851848</v>
      </c>
      <c r="V14" s="5">
        <v>57.24074074074074</v>
      </c>
      <c r="W14" s="5">
        <v>43.092592592592588</v>
      </c>
    </row>
    <row r="15" spans="1:23">
      <c r="A15" s="1">
        <v>12</v>
      </c>
      <c r="B15" s="1">
        <v>1</v>
      </c>
      <c r="C15" s="1">
        <v>173</v>
      </c>
      <c r="D15" s="1">
        <v>64</v>
      </c>
      <c r="E15" s="1">
        <v>40</v>
      </c>
      <c r="F15" s="1">
        <v>79</v>
      </c>
      <c r="G15" s="1">
        <v>48</v>
      </c>
      <c r="H15" s="1">
        <v>56.5</v>
      </c>
      <c r="I15" s="1">
        <v>47</v>
      </c>
      <c r="K15" s="2">
        <v>1</v>
      </c>
    </row>
    <row r="16" spans="1:23">
      <c r="A16" s="1">
        <v>13</v>
      </c>
      <c r="B16" s="1">
        <v>0</v>
      </c>
      <c r="C16" s="1">
        <v>158</v>
      </c>
      <c r="D16" s="1">
        <v>43</v>
      </c>
      <c r="E16" s="1">
        <v>36</v>
      </c>
      <c r="F16" s="1">
        <v>68</v>
      </c>
      <c r="G16" s="1">
        <v>43</v>
      </c>
      <c r="H16" s="1">
        <v>55</v>
      </c>
      <c r="I16" s="1">
        <v>39</v>
      </c>
      <c r="K16" s="2">
        <v>1</v>
      </c>
    </row>
    <row r="17" spans="1:43">
      <c r="A17" s="1">
        <v>14</v>
      </c>
      <c r="B17" s="1">
        <v>1</v>
      </c>
      <c r="C17" s="1">
        <v>178</v>
      </c>
      <c r="D17" s="1">
        <v>74</v>
      </c>
      <c r="E17" s="1">
        <v>42</v>
      </c>
      <c r="F17" s="1">
        <v>75</v>
      </c>
      <c r="G17" s="1">
        <v>50</v>
      </c>
      <c r="H17" s="1">
        <v>59</v>
      </c>
      <c r="I17" s="1">
        <v>45</v>
      </c>
      <c r="K17" s="2">
        <v>1</v>
      </c>
    </row>
    <row r="18" spans="1:43">
      <c r="A18" s="1">
        <v>15</v>
      </c>
      <c r="B18" s="1">
        <v>1</v>
      </c>
      <c r="C18" s="1">
        <v>181</v>
      </c>
      <c r="D18" s="1">
        <v>76</v>
      </c>
      <c r="E18" s="1">
        <v>43</v>
      </c>
      <c r="F18" s="1">
        <v>83</v>
      </c>
      <c r="G18" s="1">
        <v>51</v>
      </c>
      <c r="H18" s="1">
        <v>57</v>
      </c>
      <c r="I18" s="1">
        <v>43</v>
      </c>
      <c r="K18" s="2">
        <v>1</v>
      </c>
    </row>
    <row r="19" spans="1:43">
      <c r="A19" s="1">
        <v>16</v>
      </c>
      <c r="B19" s="1">
        <v>1</v>
      </c>
      <c r="C19" s="1">
        <v>182</v>
      </c>
      <c r="D19" s="1">
        <v>91</v>
      </c>
      <c r="E19" s="1">
        <v>41</v>
      </c>
      <c r="F19" s="1">
        <v>83</v>
      </c>
      <c r="G19" s="1">
        <v>53</v>
      </c>
      <c r="H19" s="1">
        <v>59</v>
      </c>
      <c r="I19" s="1">
        <v>43</v>
      </c>
      <c r="K19" s="2">
        <v>1</v>
      </c>
    </row>
    <row r="20" spans="1:43">
      <c r="A20" s="1">
        <v>17</v>
      </c>
      <c r="B20" s="1">
        <v>1</v>
      </c>
      <c r="C20" s="1">
        <v>176</v>
      </c>
      <c r="D20" s="1">
        <v>73</v>
      </c>
      <c r="E20" s="1">
        <v>42</v>
      </c>
      <c r="F20" s="1">
        <v>78</v>
      </c>
      <c r="G20" s="1">
        <v>48</v>
      </c>
      <c r="H20" s="1">
        <v>58</v>
      </c>
      <c r="I20" s="1">
        <v>45</v>
      </c>
      <c r="K20" s="2">
        <v>1</v>
      </c>
      <c r="Q20" s="1">
        <v>0</v>
      </c>
      <c r="R20" s="1">
        <v>1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1</v>
      </c>
      <c r="Y20" s="1">
        <v>1</v>
      </c>
      <c r="Z20" s="1">
        <v>0</v>
      </c>
      <c r="AA20" s="1">
        <v>0</v>
      </c>
      <c r="AB20" s="1">
        <v>1</v>
      </c>
      <c r="AC20" s="1">
        <v>0</v>
      </c>
      <c r="AD20" s="1">
        <v>1</v>
      </c>
      <c r="AE20" s="1">
        <v>1</v>
      </c>
      <c r="AF20" s="1">
        <v>1</v>
      </c>
      <c r="AG20" s="1">
        <v>1</v>
      </c>
      <c r="AH20" s="1">
        <v>0</v>
      </c>
      <c r="AI20" s="1">
        <v>0</v>
      </c>
      <c r="AJ20" s="1">
        <v>0</v>
      </c>
      <c r="AK20" s="1">
        <v>1</v>
      </c>
      <c r="AL20" s="1">
        <v>1</v>
      </c>
      <c r="AM20" s="1">
        <v>0</v>
      </c>
      <c r="AN20" s="1">
        <v>1</v>
      </c>
      <c r="AO20" s="1">
        <v>0</v>
      </c>
      <c r="AP20" s="1">
        <v>1</v>
      </c>
      <c r="AQ20" s="1">
        <v>0</v>
      </c>
    </row>
    <row r="21" spans="1:43">
      <c r="A21" s="1">
        <v>18</v>
      </c>
      <c r="B21" s="1">
        <v>0</v>
      </c>
      <c r="C21" s="1">
        <v>162</v>
      </c>
      <c r="D21" s="1">
        <v>68</v>
      </c>
      <c r="E21" s="1">
        <v>39</v>
      </c>
      <c r="F21" s="1">
        <v>72</v>
      </c>
      <c r="G21" s="1">
        <v>44</v>
      </c>
      <c r="H21" s="1">
        <v>59</v>
      </c>
      <c r="I21" s="1">
        <v>42</v>
      </c>
      <c r="K21" s="2">
        <v>1</v>
      </c>
      <c r="Q21" s="1">
        <v>159</v>
      </c>
      <c r="R21" s="1">
        <v>164</v>
      </c>
      <c r="S21" s="1">
        <v>172</v>
      </c>
      <c r="T21" s="1">
        <v>167</v>
      </c>
      <c r="U21" s="1">
        <v>164</v>
      </c>
      <c r="V21" s="1">
        <v>161</v>
      </c>
      <c r="W21" s="1">
        <v>168</v>
      </c>
      <c r="X21" s="1">
        <v>181</v>
      </c>
      <c r="Y21" s="1">
        <v>183</v>
      </c>
      <c r="Z21" s="1">
        <v>158</v>
      </c>
      <c r="AA21" s="1">
        <v>156</v>
      </c>
      <c r="AB21" s="1">
        <v>173</v>
      </c>
      <c r="AC21" s="1">
        <v>158</v>
      </c>
      <c r="AD21" s="1">
        <v>178</v>
      </c>
      <c r="AE21" s="1">
        <v>181</v>
      </c>
      <c r="AF21" s="1">
        <v>182</v>
      </c>
      <c r="AG21" s="1">
        <v>176</v>
      </c>
      <c r="AH21" s="1">
        <v>162</v>
      </c>
      <c r="AI21" s="1">
        <v>156</v>
      </c>
      <c r="AJ21" s="1">
        <v>152</v>
      </c>
      <c r="AK21" s="1">
        <v>181</v>
      </c>
      <c r="AL21" s="1">
        <v>173</v>
      </c>
      <c r="AM21" s="1">
        <v>155</v>
      </c>
      <c r="AN21" s="1">
        <v>189</v>
      </c>
      <c r="AO21" s="1">
        <v>170</v>
      </c>
      <c r="AP21" s="1">
        <v>170</v>
      </c>
      <c r="AQ21" s="1">
        <v>168</v>
      </c>
    </row>
    <row r="22" spans="1:43">
      <c r="A22" s="1">
        <v>19</v>
      </c>
      <c r="B22" s="1">
        <v>0</v>
      </c>
      <c r="C22" s="1">
        <v>156</v>
      </c>
      <c r="D22" s="1">
        <v>52</v>
      </c>
      <c r="E22" s="1">
        <v>36</v>
      </c>
      <c r="F22" s="1">
        <v>67</v>
      </c>
      <c r="G22" s="1">
        <v>36</v>
      </c>
      <c r="H22" s="1">
        <v>56</v>
      </c>
      <c r="I22" s="1">
        <v>41</v>
      </c>
      <c r="K22" s="2">
        <v>1</v>
      </c>
      <c r="Q22" s="1">
        <v>49</v>
      </c>
      <c r="R22" s="1">
        <v>62</v>
      </c>
      <c r="S22" s="1">
        <v>65</v>
      </c>
      <c r="T22" s="1">
        <v>52</v>
      </c>
      <c r="U22" s="1">
        <v>51</v>
      </c>
      <c r="V22" s="1">
        <v>67</v>
      </c>
      <c r="W22" s="1">
        <v>48</v>
      </c>
      <c r="X22" s="1">
        <v>74</v>
      </c>
      <c r="Y22" s="1">
        <v>74</v>
      </c>
      <c r="Z22" s="1">
        <v>50</v>
      </c>
      <c r="AA22" s="1">
        <v>65</v>
      </c>
      <c r="AB22" s="1">
        <v>64</v>
      </c>
      <c r="AC22" s="1">
        <v>43</v>
      </c>
      <c r="AD22" s="1">
        <v>74</v>
      </c>
      <c r="AE22" s="1">
        <v>76</v>
      </c>
      <c r="AF22" s="1">
        <v>91</v>
      </c>
      <c r="AG22" s="1">
        <v>73</v>
      </c>
      <c r="AH22" s="1">
        <v>68</v>
      </c>
      <c r="AI22" s="1">
        <v>52</v>
      </c>
      <c r="AJ22" s="1">
        <v>45</v>
      </c>
      <c r="AK22" s="1">
        <v>80</v>
      </c>
      <c r="AL22" s="1">
        <v>69</v>
      </c>
      <c r="AM22" s="1">
        <v>53</v>
      </c>
      <c r="AN22" s="1">
        <v>87</v>
      </c>
      <c r="AO22" s="1">
        <v>70</v>
      </c>
      <c r="AP22" s="1">
        <v>67</v>
      </c>
      <c r="AQ22" s="1">
        <v>56</v>
      </c>
    </row>
    <row r="23" spans="1:43">
      <c r="A23" s="1">
        <v>20</v>
      </c>
      <c r="B23" s="1">
        <v>0</v>
      </c>
      <c r="C23" s="1">
        <v>152</v>
      </c>
      <c r="D23" s="1">
        <v>45</v>
      </c>
      <c r="E23" s="1">
        <v>34</v>
      </c>
      <c r="F23" s="1">
        <v>66</v>
      </c>
      <c r="G23" s="1">
        <v>40</v>
      </c>
      <c r="H23" s="1">
        <v>55</v>
      </c>
      <c r="I23" s="1">
        <v>38</v>
      </c>
      <c r="K23" s="2">
        <v>1</v>
      </c>
      <c r="Q23" s="1">
        <v>36</v>
      </c>
      <c r="R23" s="1">
        <v>39</v>
      </c>
      <c r="S23" s="1">
        <v>38</v>
      </c>
      <c r="T23" s="1">
        <v>37</v>
      </c>
      <c r="U23" s="1">
        <v>36</v>
      </c>
      <c r="V23" s="1">
        <v>38</v>
      </c>
      <c r="W23" s="1">
        <v>39</v>
      </c>
      <c r="X23" s="1">
        <v>43</v>
      </c>
      <c r="Y23" s="1">
        <v>41</v>
      </c>
      <c r="Z23" s="1">
        <v>36</v>
      </c>
      <c r="AA23" s="1">
        <v>36</v>
      </c>
      <c r="AB23" s="1">
        <v>40</v>
      </c>
      <c r="AC23" s="1">
        <v>36</v>
      </c>
      <c r="AD23" s="1">
        <v>42</v>
      </c>
      <c r="AE23" s="1">
        <v>43</v>
      </c>
      <c r="AF23" s="1">
        <v>41</v>
      </c>
      <c r="AG23" s="1">
        <v>42</v>
      </c>
      <c r="AH23" s="1">
        <v>39</v>
      </c>
      <c r="AI23" s="1">
        <v>36</v>
      </c>
      <c r="AJ23" s="1">
        <v>34</v>
      </c>
      <c r="AK23" s="1">
        <v>43</v>
      </c>
      <c r="AL23" s="1">
        <v>41</v>
      </c>
      <c r="AM23" s="1">
        <v>36</v>
      </c>
      <c r="AN23" s="1">
        <v>45</v>
      </c>
      <c r="AO23" s="1">
        <v>38</v>
      </c>
      <c r="AP23" s="1">
        <v>40</v>
      </c>
      <c r="AQ23" s="1">
        <v>37.5</v>
      </c>
    </row>
    <row r="24" spans="1:43">
      <c r="A24" s="1">
        <v>21</v>
      </c>
      <c r="B24" s="1">
        <v>1</v>
      </c>
      <c r="C24" s="1">
        <v>181</v>
      </c>
      <c r="D24" s="1">
        <v>80</v>
      </c>
      <c r="E24" s="1">
        <v>43</v>
      </c>
      <c r="F24" s="1">
        <v>76</v>
      </c>
      <c r="G24" s="1">
        <v>49</v>
      </c>
      <c r="H24" s="1">
        <v>57</v>
      </c>
      <c r="I24" s="1">
        <v>46</v>
      </c>
      <c r="K24" s="2">
        <v>1</v>
      </c>
      <c r="Q24" s="1">
        <v>68</v>
      </c>
      <c r="R24" s="1">
        <v>73</v>
      </c>
      <c r="S24" s="1">
        <v>75</v>
      </c>
      <c r="T24" s="1">
        <v>73</v>
      </c>
      <c r="U24" s="1">
        <v>71</v>
      </c>
      <c r="V24" s="1">
        <v>71</v>
      </c>
      <c r="W24" s="1">
        <v>72.5</v>
      </c>
      <c r="X24" s="1">
        <v>74</v>
      </c>
      <c r="Y24" s="1">
        <v>79</v>
      </c>
      <c r="Z24" s="1">
        <v>68.5</v>
      </c>
      <c r="AA24" s="1">
        <v>68</v>
      </c>
      <c r="AB24" s="1">
        <v>79</v>
      </c>
      <c r="AC24" s="1">
        <v>68</v>
      </c>
      <c r="AD24" s="1">
        <v>75</v>
      </c>
      <c r="AE24" s="1">
        <v>83</v>
      </c>
      <c r="AF24" s="1">
        <v>83</v>
      </c>
      <c r="AG24" s="1">
        <v>78</v>
      </c>
      <c r="AH24" s="1">
        <v>72</v>
      </c>
      <c r="AI24" s="1">
        <v>67</v>
      </c>
      <c r="AJ24" s="1">
        <v>66</v>
      </c>
      <c r="AK24" s="1">
        <v>76</v>
      </c>
      <c r="AL24" s="1">
        <v>74</v>
      </c>
      <c r="AM24" s="1">
        <v>67</v>
      </c>
      <c r="AN24" s="1">
        <v>82</v>
      </c>
      <c r="AO24" s="1">
        <v>73</v>
      </c>
      <c r="AP24" s="1">
        <v>77</v>
      </c>
      <c r="AQ24" s="1">
        <v>70.5</v>
      </c>
    </row>
    <row r="25" spans="1:43">
      <c r="A25" s="1">
        <v>22</v>
      </c>
      <c r="B25" s="1">
        <v>1</v>
      </c>
      <c r="C25" s="1">
        <v>173</v>
      </c>
      <c r="D25" s="1">
        <v>69</v>
      </c>
      <c r="E25" s="1">
        <v>41</v>
      </c>
      <c r="F25" s="1">
        <v>74</v>
      </c>
      <c r="G25" s="1">
        <v>48</v>
      </c>
      <c r="H25" s="1">
        <v>56</v>
      </c>
      <c r="I25" s="1">
        <v>44</v>
      </c>
      <c r="K25" s="2">
        <v>1</v>
      </c>
      <c r="Q25" s="1">
        <v>42</v>
      </c>
      <c r="R25" s="1">
        <v>44</v>
      </c>
      <c r="S25" s="1">
        <v>48</v>
      </c>
      <c r="T25" s="1">
        <v>41.5</v>
      </c>
      <c r="U25" s="1">
        <v>44.5</v>
      </c>
      <c r="V25" s="1">
        <v>44</v>
      </c>
      <c r="W25" s="1">
        <v>41</v>
      </c>
      <c r="X25" s="1">
        <v>50</v>
      </c>
      <c r="Y25" s="1">
        <v>47.5</v>
      </c>
      <c r="Z25" s="1">
        <v>44</v>
      </c>
      <c r="AA25" s="1">
        <v>46</v>
      </c>
      <c r="AB25" s="1">
        <v>48</v>
      </c>
      <c r="AC25" s="1">
        <v>43</v>
      </c>
      <c r="AD25" s="1">
        <v>50</v>
      </c>
      <c r="AE25" s="1">
        <v>51</v>
      </c>
      <c r="AF25" s="1">
        <v>53</v>
      </c>
      <c r="AG25" s="1">
        <v>48</v>
      </c>
      <c r="AH25" s="1">
        <v>44</v>
      </c>
      <c r="AI25" s="1">
        <v>36</v>
      </c>
      <c r="AJ25" s="1">
        <v>40</v>
      </c>
      <c r="AK25" s="1">
        <v>49</v>
      </c>
      <c r="AL25" s="1">
        <v>48</v>
      </c>
      <c r="AM25" s="1">
        <v>43</v>
      </c>
      <c r="AN25" s="1">
        <v>53</v>
      </c>
      <c r="AO25" s="1">
        <v>45</v>
      </c>
      <c r="AP25" s="1">
        <v>46.5</v>
      </c>
      <c r="AQ25" s="1">
        <v>48</v>
      </c>
    </row>
    <row r="26" spans="1:43">
      <c r="A26" s="1">
        <v>23</v>
      </c>
      <c r="B26" s="1">
        <v>0</v>
      </c>
      <c r="C26" s="1">
        <v>155</v>
      </c>
      <c r="D26" s="1">
        <v>53</v>
      </c>
      <c r="E26" s="1">
        <v>36</v>
      </c>
      <c r="F26" s="1">
        <v>67</v>
      </c>
      <c r="G26" s="1">
        <v>43</v>
      </c>
      <c r="H26" s="1">
        <v>56</v>
      </c>
      <c r="I26" s="1">
        <v>38</v>
      </c>
      <c r="K26" s="2">
        <v>1</v>
      </c>
      <c r="Q26" s="1">
        <v>57</v>
      </c>
      <c r="R26" s="1">
        <v>55</v>
      </c>
      <c r="S26" s="1">
        <v>58</v>
      </c>
      <c r="T26" s="1">
        <v>58</v>
      </c>
      <c r="U26" s="1">
        <v>54</v>
      </c>
      <c r="V26" s="1">
        <v>56</v>
      </c>
      <c r="W26" s="1">
        <v>54.5</v>
      </c>
      <c r="X26" s="1">
        <v>60</v>
      </c>
      <c r="Y26" s="1">
        <v>59.5</v>
      </c>
      <c r="Z26" s="1">
        <v>57</v>
      </c>
      <c r="AA26" s="1">
        <v>58</v>
      </c>
      <c r="AB26" s="1">
        <v>56.5</v>
      </c>
      <c r="AC26" s="1">
        <v>55</v>
      </c>
      <c r="AD26" s="1">
        <v>59</v>
      </c>
      <c r="AE26" s="1">
        <v>57</v>
      </c>
      <c r="AF26" s="1">
        <v>59</v>
      </c>
      <c r="AG26" s="1">
        <v>58</v>
      </c>
      <c r="AH26" s="1">
        <v>59</v>
      </c>
      <c r="AI26" s="1">
        <v>56</v>
      </c>
      <c r="AJ26" s="1">
        <v>55</v>
      </c>
      <c r="AK26" s="1">
        <v>57</v>
      </c>
      <c r="AL26" s="1">
        <v>56</v>
      </c>
      <c r="AM26" s="1">
        <v>56</v>
      </c>
      <c r="AN26" s="1">
        <v>61</v>
      </c>
      <c r="AO26" s="1">
        <v>56</v>
      </c>
      <c r="AP26" s="1">
        <v>58</v>
      </c>
      <c r="AQ26" s="1">
        <v>60</v>
      </c>
    </row>
    <row r="27" spans="1:43">
      <c r="A27" s="1">
        <v>24</v>
      </c>
      <c r="B27" s="1">
        <v>1</v>
      </c>
      <c r="C27" s="1">
        <v>189</v>
      </c>
      <c r="D27" s="1">
        <v>87</v>
      </c>
      <c r="E27" s="1">
        <v>45</v>
      </c>
      <c r="F27" s="1">
        <v>82</v>
      </c>
      <c r="G27" s="1">
        <v>53</v>
      </c>
      <c r="H27" s="1">
        <v>61</v>
      </c>
      <c r="I27" s="1">
        <v>52</v>
      </c>
      <c r="K27" s="2">
        <v>1</v>
      </c>
      <c r="Q27" s="1">
        <v>40</v>
      </c>
      <c r="R27" s="1">
        <v>44</v>
      </c>
      <c r="S27" s="1">
        <v>44</v>
      </c>
      <c r="T27" s="1">
        <v>44</v>
      </c>
      <c r="U27" s="1">
        <v>40</v>
      </c>
      <c r="V27" s="1">
        <v>42</v>
      </c>
      <c r="W27" s="1">
        <v>43</v>
      </c>
      <c r="X27" s="1">
        <v>47</v>
      </c>
      <c r="Y27" s="1">
        <v>47</v>
      </c>
      <c r="Z27" s="1">
        <v>41</v>
      </c>
      <c r="AA27" s="1">
        <v>41</v>
      </c>
      <c r="AB27" s="1">
        <v>47</v>
      </c>
      <c r="AC27" s="1">
        <v>39</v>
      </c>
      <c r="AD27" s="1">
        <v>45</v>
      </c>
      <c r="AE27" s="1">
        <v>43</v>
      </c>
      <c r="AF27" s="1">
        <v>43</v>
      </c>
      <c r="AG27" s="1">
        <v>45</v>
      </c>
      <c r="AH27" s="1">
        <v>42</v>
      </c>
      <c r="AI27" s="1">
        <v>41</v>
      </c>
      <c r="AJ27" s="1">
        <v>38</v>
      </c>
      <c r="AK27" s="1">
        <v>46</v>
      </c>
      <c r="AL27" s="1">
        <v>44</v>
      </c>
      <c r="AM27" s="1">
        <v>38</v>
      </c>
      <c r="AN27" s="1">
        <v>52</v>
      </c>
      <c r="AO27" s="1">
        <v>43</v>
      </c>
      <c r="AP27" s="1">
        <v>44.5</v>
      </c>
      <c r="AQ27" s="1">
        <v>40</v>
      </c>
    </row>
    <row r="28" spans="1:43">
      <c r="A28" s="1">
        <v>25</v>
      </c>
      <c r="B28" s="1">
        <v>0</v>
      </c>
      <c r="C28" s="1">
        <v>170</v>
      </c>
      <c r="D28" s="1">
        <v>70</v>
      </c>
      <c r="E28" s="1">
        <v>38</v>
      </c>
      <c r="F28" s="1">
        <v>73</v>
      </c>
      <c r="G28" s="1">
        <v>45</v>
      </c>
      <c r="H28" s="1">
        <v>56</v>
      </c>
      <c r="I28" s="1">
        <v>43</v>
      </c>
      <c r="K28" s="2">
        <v>1</v>
      </c>
    </row>
    <row r="29" spans="1:43">
      <c r="A29" s="1">
        <v>26</v>
      </c>
      <c r="B29" s="1">
        <v>1</v>
      </c>
      <c r="C29" s="1">
        <v>170</v>
      </c>
      <c r="D29" s="1">
        <v>67</v>
      </c>
      <c r="E29" s="1">
        <v>40</v>
      </c>
      <c r="F29" s="1">
        <v>77</v>
      </c>
      <c r="G29" s="1">
        <v>46.5</v>
      </c>
      <c r="H29" s="1">
        <v>58</v>
      </c>
      <c r="I29" s="1">
        <v>44.5</v>
      </c>
      <c r="K29" s="2">
        <v>1</v>
      </c>
    </row>
    <row r="30" spans="1:43">
      <c r="A30" s="11">
        <v>27</v>
      </c>
      <c r="B30" s="11">
        <v>0</v>
      </c>
      <c r="C30" s="11">
        <v>168</v>
      </c>
      <c r="D30" s="11">
        <v>56</v>
      </c>
      <c r="E30" s="11">
        <v>37.5</v>
      </c>
      <c r="F30" s="11">
        <v>70.5</v>
      </c>
      <c r="G30" s="11">
        <v>48</v>
      </c>
      <c r="H30" s="11">
        <v>60</v>
      </c>
      <c r="I30" s="11">
        <v>40</v>
      </c>
    </row>
    <row r="33" spans="1:56">
      <c r="A33" s="13" t="s">
        <v>10</v>
      </c>
      <c r="B33" s="12">
        <f>+AVERAGE(B4:B30)</f>
        <v>0.44444444444444442</v>
      </c>
      <c r="C33" s="12">
        <f>+AVERAGE(C4:C30)</f>
        <v>168.77777777777777</v>
      </c>
      <c r="D33" s="12">
        <f>+AVERAGE(D4:D30)</f>
        <v>63.888888888888886</v>
      </c>
      <c r="E33" s="12">
        <f>+AVERAGE(E4:E30)</f>
        <v>38.981481481481481</v>
      </c>
      <c r="F33" s="12">
        <f>+AVERAGE(F4:F30)</f>
        <v>73.462962962962962</v>
      </c>
      <c r="G33" s="12">
        <f>+AVERAGE(G4:G30)</f>
        <v>45.851851851851855</v>
      </c>
      <c r="H33" s="12">
        <f>+AVERAGE(H4:H30)</f>
        <v>57.24074074074074</v>
      </c>
      <c r="I33" s="12">
        <f>+AVERAGE(I4:I30)</f>
        <v>43.092592592592595</v>
      </c>
      <c r="AD33" s="2" cm="1">
        <f t="array" ref="AD33:BD40">TRANSPOSE(_xlfn.ANCHORARRAY(V47))</f>
        <v>-0.44444444444444442</v>
      </c>
      <c r="AE33" s="2">
        <v>0.55555555555555558</v>
      </c>
      <c r="AF33" s="2">
        <v>-0.44444444444444442</v>
      </c>
      <c r="AG33" s="2">
        <v>-0.44444444444444442</v>
      </c>
      <c r="AH33" s="2">
        <v>-0.44444444444444442</v>
      </c>
      <c r="AI33" s="2">
        <v>-0.44444444444444442</v>
      </c>
      <c r="AJ33" s="2">
        <v>-0.44444444444444442</v>
      </c>
      <c r="AK33" s="2">
        <v>0.55555555555555558</v>
      </c>
      <c r="AL33" s="2">
        <v>0.55555555555555558</v>
      </c>
      <c r="AM33" s="2">
        <v>-0.44444444444444442</v>
      </c>
      <c r="AN33" s="2">
        <v>-0.44444444444444442</v>
      </c>
      <c r="AO33" s="2">
        <v>0.55555555555555558</v>
      </c>
      <c r="AP33" s="2">
        <v>-0.44444444444444442</v>
      </c>
      <c r="AQ33" s="2">
        <v>0.55555555555555558</v>
      </c>
      <c r="AR33" s="2">
        <v>0.55555555555555558</v>
      </c>
      <c r="AS33" s="2">
        <v>0.55555555555555558</v>
      </c>
      <c r="AT33" s="2">
        <v>0.55555555555555558</v>
      </c>
      <c r="AU33" s="2">
        <v>-0.44444444444444442</v>
      </c>
      <c r="AV33" s="2">
        <v>-0.44444444444444442</v>
      </c>
      <c r="AW33" s="2">
        <v>-0.44444444444444442</v>
      </c>
      <c r="AX33" s="2">
        <v>0.55555555555555558</v>
      </c>
      <c r="AY33" s="2">
        <v>0.55555555555555558</v>
      </c>
      <c r="AZ33" s="2">
        <v>-0.44444444444444442</v>
      </c>
      <c r="BA33" s="2">
        <v>0.55555555555555558</v>
      </c>
      <c r="BB33" s="2">
        <v>-0.44444444444444442</v>
      </c>
      <c r="BC33" s="2">
        <v>0.55555555555555558</v>
      </c>
      <c r="BD33" s="2">
        <v>-0.44444444444444442</v>
      </c>
    </row>
    <row r="34" spans="1:56">
      <c r="A34" s="13" t="s">
        <v>9</v>
      </c>
      <c r="B34" s="8">
        <f>+VAR(B4:B30)</f>
        <v>0.25641025641025644</v>
      </c>
      <c r="C34" s="8">
        <f>+VAR(C4:C30)</f>
        <v>103.94871794871794</v>
      </c>
      <c r="D34" s="8">
        <f>+VAR(D4:D30)</f>
        <v>163.87179487179506</v>
      </c>
      <c r="E34" s="8">
        <f>+VAR(E4:E30)</f>
        <v>8.2015669515669529</v>
      </c>
      <c r="F34" s="8">
        <f>+VAR(F4:F30)</f>
        <v>24.575498575498571</v>
      </c>
      <c r="G34" s="8">
        <f>+VAR(G4:G30)</f>
        <v>16.169515669515668</v>
      </c>
      <c r="H34" s="8">
        <f>+VAR(H4:H30)</f>
        <v>3.3917378917378898</v>
      </c>
      <c r="I34" s="8">
        <f>+VAR(I4:I30)</f>
        <v>9.9622507122507127</v>
      </c>
      <c r="AD34" s="2">
        <v>-9.7777777777777715</v>
      </c>
      <c r="AE34" s="2">
        <v>-4.7777777777777715</v>
      </c>
      <c r="AF34" s="2">
        <v>3.2222222222222285</v>
      </c>
      <c r="AG34" s="2">
        <v>-1.7777777777777715</v>
      </c>
      <c r="AH34" s="2">
        <v>-4.7777777777777715</v>
      </c>
      <c r="AI34" s="2">
        <v>-7.7777777777777715</v>
      </c>
      <c r="AJ34" s="2">
        <v>-0.77777777777777146</v>
      </c>
      <c r="AK34" s="2">
        <v>12.222222222222229</v>
      </c>
      <c r="AL34" s="2">
        <v>14.222222222222229</v>
      </c>
      <c r="AM34" s="2">
        <v>-10.777777777777771</v>
      </c>
      <c r="AN34" s="2">
        <v>-12.777777777777771</v>
      </c>
      <c r="AO34" s="2">
        <v>4.2222222222222285</v>
      </c>
      <c r="AP34" s="2">
        <v>-10.777777777777771</v>
      </c>
      <c r="AQ34" s="2">
        <v>9.2222222222222285</v>
      </c>
      <c r="AR34" s="2">
        <v>12.222222222222229</v>
      </c>
      <c r="AS34" s="2">
        <v>13.222222222222229</v>
      </c>
      <c r="AT34" s="2">
        <v>7.2222222222222285</v>
      </c>
      <c r="AU34" s="2">
        <v>-6.7777777777777715</v>
      </c>
      <c r="AV34" s="2">
        <v>-12.777777777777771</v>
      </c>
      <c r="AW34" s="2">
        <v>-16.777777777777771</v>
      </c>
      <c r="AX34" s="2">
        <v>12.222222222222229</v>
      </c>
      <c r="AY34" s="2">
        <v>4.2222222222222285</v>
      </c>
      <c r="AZ34" s="2">
        <v>-13.777777777777771</v>
      </c>
      <c r="BA34" s="2">
        <v>20.222222222222229</v>
      </c>
      <c r="BB34" s="2">
        <v>1.2222222222222285</v>
      </c>
      <c r="BC34" s="2">
        <v>1.2222222222222285</v>
      </c>
      <c r="BD34" s="2">
        <v>-0.77777777777777146</v>
      </c>
    </row>
    <row r="35" spans="1:56">
      <c r="AD35" s="2">
        <v>-14.888888888888886</v>
      </c>
      <c r="AE35" s="2">
        <v>-1.8888888888888857</v>
      </c>
      <c r="AF35" s="2">
        <v>1.1111111111111143</v>
      </c>
      <c r="AG35" s="2">
        <v>-11.888888888888886</v>
      </c>
      <c r="AH35" s="2">
        <v>-12.888888888888886</v>
      </c>
      <c r="AI35" s="2">
        <v>3.1111111111111143</v>
      </c>
      <c r="AJ35" s="2">
        <v>-15.888888888888886</v>
      </c>
      <c r="AK35" s="2">
        <v>10.111111111111114</v>
      </c>
      <c r="AL35" s="2">
        <v>10.111111111111114</v>
      </c>
      <c r="AM35" s="2">
        <v>-13.888888888888886</v>
      </c>
      <c r="AN35" s="2">
        <v>1.1111111111111143</v>
      </c>
      <c r="AO35" s="2">
        <v>0.11111111111111427</v>
      </c>
      <c r="AP35" s="2">
        <v>-20.888888888888886</v>
      </c>
      <c r="AQ35" s="2">
        <v>10.111111111111114</v>
      </c>
      <c r="AR35" s="2">
        <v>12.111111111111114</v>
      </c>
      <c r="AS35" s="2">
        <v>27.111111111111114</v>
      </c>
      <c r="AT35" s="2">
        <v>9.1111111111111143</v>
      </c>
      <c r="AU35" s="2">
        <v>4.1111111111111143</v>
      </c>
      <c r="AV35" s="2">
        <v>-11.888888888888886</v>
      </c>
      <c r="AW35" s="2">
        <v>-18.888888888888886</v>
      </c>
      <c r="AX35" s="2">
        <v>16.111111111111114</v>
      </c>
      <c r="AY35" s="2">
        <v>5.1111111111111143</v>
      </c>
      <c r="AZ35" s="2">
        <v>-10.888888888888886</v>
      </c>
      <c r="BA35" s="2">
        <v>23.111111111111114</v>
      </c>
      <c r="BB35" s="2">
        <v>6.1111111111111143</v>
      </c>
      <c r="BC35" s="2">
        <v>3.1111111111111143</v>
      </c>
      <c r="BD35" s="2">
        <v>-7.8888888888888857</v>
      </c>
    </row>
    <row r="36" spans="1:56">
      <c r="AD36" s="2">
        <v>-2.981481481481481</v>
      </c>
      <c r="AE36" s="2">
        <v>1.8518518518519045E-2</v>
      </c>
      <c r="AF36" s="2">
        <v>-0.98148148148148096</v>
      </c>
      <c r="AG36" s="2">
        <v>-1.981481481481481</v>
      </c>
      <c r="AH36" s="2">
        <v>-2.981481481481481</v>
      </c>
      <c r="AI36" s="2">
        <v>-0.98148148148148096</v>
      </c>
      <c r="AJ36" s="2">
        <v>1.8518518518519045E-2</v>
      </c>
      <c r="AK36" s="2">
        <v>4.018518518518519</v>
      </c>
      <c r="AL36" s="2">
        <v>2.018518518518519</v>
      </c>
      <c r="AM36" s="2">
        <v>-2.981481481481481</v>
      </c>
      <c r="AN36" s="2">
        <v>-2.981481481481481</v>
      </c>
      <c r="AO36" s="2">
        <v>1.018518518518519</v>
      </c>
      <c r="AP36" s="2">
        <v>-2.981481481481481</v>
      </c>
      <c r="AQ36" s="2">
        <v>3.018518518518519</v>
      </c>
      <c r="AR36" s="2">
        <v>4.018518518518519</v>
      </c>
      <c r="AS36" s="2">
        <v>2.018518518518519</v>
      </c>
      <c r="AT36" s="2">
        <v>3.018518518518519</v>
      </c>
      <c r="AU36" s="2">
        <v>1.8518518518519045E-2</v>
      </c>
      <c r="AV36" s="2">
        <v>-2.981481481481481</v>
      </c>
      <c r="AW36" s="2">
        <v>-4.981481481481481</v>
      </c>
      <c r="AX36" s="2">
        <v>4.018518518518519</v>
      </c>
      <c r="AY36" s="2">
        <v>2.018518518518519</v>
      </c>
      <c r="AZ36" s="2">
        <v>-2.981481481481481</v>
      </c>
      <c r="BA36" s="2">
        <v>6.018518518518519</v>
      </c>
      <c r="BB36" s="2">
        <v>-0.98148148148148096</v>
      </c>
      <c r="BC36" s="2">
        <v>1.018518518518519</v>
      </c>
      <c r="BD36" s="2">
        <v>-1.481481481481481</v>
      </c>
    </row>
    <row r="37" spans="1:56">
      <c r="AD37" s="2">
        <v>-5.4629629629629619</v>
      </c>
      <c r="AE37" s="2">
        <v>-0.46296296296296191</v>
      </c>
      <c r="AF37" s="2">
        <v>1.5370370370370381</v>
      </c>
      <c r="AG37" s="2">
        <v>-0.46296296296296191</v>
      </c>
      <c r="AH37" s="2">
        <v>-2.4629629629629619</v>
      </c>
      <c r="AI37" s="2">
        <v>-2.4629629629629619</v>
      </c>
      <c r="AJ37" s="2">
        <v>-0.96296296296296191</v>
      </c>
      <c r="AK37" s="2">
        <v>0.53703703703703809</v>
      </c>
      <c r="AL37" s="2">
        <v>5.5370370370370381</v>
      </c>
      <c r="AM37" s="2">
        <v>-4.9629629629629619</v>
      </c>
      <c r="AN37" s="2">
        <v>-5.4629629629629619</v>
      </c>
      <c r="AO37" s="2">
        <v>5.5370370370370381</v>
      </c>
      <c r="AP37" s="2">
        <v>-5.4629629629629619</v>
      </c>
      <c r="AQ37" s="2">
        <v>1.5370370370370381</v>
      </c>
      <c r="AR37" s="2">
        <v>9.5370370370370381</v>
      </c>
      <c r="AS37" s="2">
        <v>9.5370370370370381</v>
      </c>
      <c r="AT37" s="2">
        <v>4.5370370370370381</v>
      </c>
      <c r="AU37" s="2">
        <v>-1.4629629629629619</v>
      </c>
      <c r="AV37" s="2">
        <v>-6.4629629629629619</v>
      </c>
      <c r="AW37" s="2">
        <v>-7.4629629629629619</v>
      </c>
      <c r="AX37" s="2">
        <v>2.5370370370370381</v>
      </c>
      <c r="AY37" s="2">
        <v>0.53703703703703809</v>
      </c>
      <c r="AZ37" s="2">
        <v>-6.4629629629629619</v>
      </c>
      <c r="BA37" s="2">
        <v>8.5370370370370381</v>
      </c>
      <c r="BB37" s="2">
        <v>-0.46296296296296191</v>
      </c>
      <c r="BC37" s="2">
        <v>3.5370370370370381</v>
      </c>
      <c r="BD37" s="2">
        <v>-2.9629629629629619</v>
      </c>
    </row>
    <row r="38" spans="1:56">
      <c r="AD38" s="2">
        <v>-3.8518518518518476</v>
      </c>
      <c r="AE38" s="2">
        <v>-1.8518518518518476</v>
      </c>
      <c r="AF38" s="2">
        <v>2.1481481481481524</v>
      </c>
      <c r="AG38" s="2">
        <v>-4.3518518518518476</v>
      </c>
      <c r="AH38" s="2">
        <v>-1.3518518518518476</v>
      </c>
      <c r="AI38" s="2">
        <v>-1.8518518518518476</v>
      </c>
      <c r="AJ38" s="2">
        <v>-4.8518518518518476</v>
      </c>
      <c r="AK38" s="2">
        <v>4.1481481481481524</v>
      </c>
      <c r="AL38" s="2">
        <v>1.6481481481481524</v>
      </c>
      <c r="AM38" s="2">
        <v>-1.8518518518518476</v>
      </c>
      <c r="AN38" s="2">
        <v>0.14814814814815236</v>
      </c>
      <c r="AO38" s="2">
        <v>2.1481481481481524</v>
      </c>
      <c r="AP38" s="2">
        <v>-2.8518518518518476</v>
      </c>
      <c r="AQ38" s="2">
        <v>4.1481481481481524</v>
      </c>
      <c r="AR38" s="2">
        <v>5.1481481481481524</v>
      </c>
      <c r="AS38" s="2">
        <v>7.1481481481481524</v>
      </c>
      <c r="AT38" s="2">
        <v>2.1481481481481524</v>
      </c>
      <c r="AU38" s="2">
        <v>-1.8518518518518476</v>
      </c>
      <c r="AV38" s="2">
        <v>-9.8518518518518476</v>
      </c>
      <c r="AW38" s="2">
        <v>-5.8518518518518476</v>
      </c>
      <c r="AX38" s="2">
        <v>3.1481481481481524</v>
      </c>
      <c r="AY38" s="2">
        <v>2.1481481481481524</v>
      </c>
      <c r="AZ38" s="2">
        <v>-2.8518518518518476</v>
      </c>
      <c r="BA38" s="2">
        <v>7.1481481481481524</v>
      </c>
      <c r="BB38" s="2">
        <v>-0.85185185185184764</v>
      </c>
      <c r="BC38" s="2">
        <v>0.64814814814815236</v>
      </c>
      <c r="BD38" s="2">
        <v>2.1481481481481524</v>
      </c>
    </row>
    <row r="39" spans="1:56">
      <c r="AD39" s="2">
        <v>-0.24074074074074048</v>
      </c>
      <c r="AE39" s="2">
        <v>-2.2407407407407405</v>
      </c>
      <c r="AF39" s="2">
        <v>0.75925925925925952</v>
      </c>
      <c r="AG39" s="2">
        <v>0.75925925925925952</v>
      </c>
      <c r="AH39" s="2">
        <v>-3.2407407407407405</v>
      </c>
      <c r="AI39" s="2">
        <v>-1.2407407407407405</v>
      </c>
      <c r="AJ39" s="2">
        <v>-2.7407407407407405</v>
      </c>
      <c r="AK39" s="2">
        <v>2.7592592592592595</v>
      </c>
      <c r="AL39" s="2">
        <v>2.2592592592592595</v>
      </c>
      <c r="AM39" s="2">
        <v>-0.24074074074074048</v>
      </c>
      <c r="AN39" s="2">
        <v>0.75925925925925952</v>
      </c>
      <c r="AO39" s="2">
        <v>-0.74074074074074048</v>
      </c>
      <c r="AP39" s="2">
        <v>-2.2407407407407405</v>
      </c>
      <c r="AQ39" s="2">
        <v>1.7592592592592595</v>
      </c>
      <c r="AR39" s="2">
        <v>-0.24074074074074048</v>
      </c>
      <c r="AS39" s="2">
        <v>1.7592592592592595</v>
      </c>
      <c r="AT39" s="2">
        <v>0.75925925925925952</v>
      </c>
      <c r="AU39" s="2">
        <v>1.7592592592592595</v>
      </c>
      <c r="AV39" s="2">
        <v>-1.2407407407407405</v>
      </c>
      <c r="AW39" s="2">
        <v>-2.2407407407407405</v>
      </c>
      <c r="AX39" s="2">
        <v>-0.24074074074074048</v>
      </c>
      <c r="AY39" s="2">
        <v>-1.2407407407407405</v>
      </c>
      <c r="AZ39" s="2">
        <v>-1.2407407407407405</v>
      </c>
      <c r="BA39" s="2">
        <v>3.7592592592592595</v>
      </c>
      <c r="BB39" s="2">
        <v>-1.2407407407407405</v>
      </c>
      <c r="BC39" s="2">
        <v>0.75925925925925952</v>
      </c>
      <c r="BD39" s="2">
        <v>2.7592592592592595</v>
      </c>
    </row>
    <row r="40" spans="1:56">
      <c r="AD40" s="2">
        <v>-3.0925925925925881</v>
      </c>
      <c r="AE40" s="2">
        <v>0.90740740740741188</v>
      </c>
      <c r="AF40" s="2">
        <v>0.90740740740741188</v>
      </c>
      <c r="AG40" s="2">
        <v>0.90740740740741188</v>
      </c>
      <c r="AH40" s="2">
        <v>-3.0925925925925881</v>
      </c>
      <c r="AI40" s="2">
        <v>-1.0925925925925881</v>
      </c>
      <c r="AJ40" s="2">
        <v>-9.2592592592588119E-2</v>
      </c>
      <c r="AK40" s="2">
        <v>3.9074074074074119</v>
      </c>
      <c r="AL40" s="2">
        <v>3.9074074074074119</v>
      </c>
      <c r="AM40" s="2">
        <v>-2.0925925925925881</v>
      </c>
      <c r="AN40" s="2">
        <v>-2.0925925925925881</v>
      </c>
      <c r="AO40" s="2">
        <v>3.9074074074074119</v>
      </c>
      <c r="AP40" s="2">
        <v>-4.0925925925925881</v>
      </c>
      <c r="AQ40" s="2">
        <v>1.9074074074074119</v>
      </c>
      <c r="AR40" s="2">
        <v>-9.2592592592588119E-2</v>
      </c>
      <c r="AS40" s="2">
        <v>-9.2592592592588119E-2</v>
      </c>
      <c r="AT40" s="2">
        <v>1.9074074074074119</v>
      </c>
      <c r="AU40" s="2">
        <v>-1.0925925925925881</v>
      </c>
      <c r="AV40" s="2">
        <v>-2.0925925925925881</v>
      </c>
      <c r="AW40" s="2">
        <v>-5.0925925925925881</v>
      </c>
      <c r="AX40" s="2">
        <v>2.9074074074074119</v>
      </c>
      <c r="AY40" s="2">
        <v>0.90740740740741188</v>
      </c>
      <c r="AZ40" s="2">
        <v>-5.0925925925925881</v>
      </c>
      <c r="BA40" s="2">
        <v>8.9074074074074119</v>
      </c>
      <c r="BB40" s="2">
        <v>-9.2592592592588119E-2</v>
      </c>
      <c r="BC40" s="2">
        <v>1.4074074074074119</v>
      </c>
      <c r="BD40" s="2">
        <v>-3.0925925925925881</v>
      </c>
    </row>
    <row r="46" spans="1:56">
      <c r="AF46" s="2" cm="1">
        <f t="array" ref="AF46:AM53">+MMULT(_xlfn.ANCHORARRAY(AD33),_xlfn.ANCHORARRAY(V47))</f>
        <v>6.666666666666667</v>
      </c>
      <c r="AG46" s="2">
        <v>105.66666666666666</v>
      </c>
      <c r="AH46" s="2">
        <v>124.33333333333333</v>
      </c>
      <c r="AI46" s="2">
        <v>32.222222222222214</v>
      </c>
      <c r="AJ46" s="2">
        <v>51.44444444444445</v>
      </c>
      <c r="AK46" s="2">
        <v>37.777777777777779</v>
      </c>
      <c r="AL46" s="2">
        <v>9.1111111111111107</v>
      </c>
      <c r="AM46" s="2">
        <v>30.388888888888893</v>
      </c>
    </row>
    <row r="47" spans="1:56">
      <c r="M47" s="2" cm="1">
        <f t="array" ref="M47:T73">+MMULT(K3:K29,_xlfn.ANCHORARRAY(P14))</f>
        <v>0.44444444444444442</v>
      </c>
      <c r="N47" s="2">
        <v>168.77777777777777</v>
      </c>
      <c r="O47" s="2">
        <v>63.888888888888886</v>
      </c>
      <c r="P47" s="2">
        <v>38.981481481481481</v>
      </c>
      <c r="Q47" s="2">
        <v>73.462962962962962</v>
      </c>
      <c r="R47" s="2">
        <v>45.851851851851848</v>
      </c>
      <c r="S47" s="2">
        <v>57.24074074074074</v>
      </c>
      <c r="T47" s="2">
        <v>43.092592592592588</v>
      </c>
      <c r="V47" s="2" cm="1">
        <f t="array" ref="V47:AC73">+B4:I30-_xlfn.ANCHORARRAY(M47)</f>
        <v>-0.44444444444444442</v>
      </c>
      <c r="W47" s="2">
        <v>-9.7777777777777715</v>
      </c>
      <c r="X47" s="2">
        <v>-14.888888888888886</v>
      </c>
      <c r="Y47" s="2">
        <v>-2.981481481481481</v>
      </c>
      <c r="Z47" s="2">
        <v>-5.4629629629629619</v>
      </c>
      <c r="AA47" s="2">
        <v>-3.8518518518518476</v>
      </c>
      <c r="AB47" s="2">
        <v>-0.24074074074074048</v>
      </c>
      <c r="AC47" s="2">
        <v>-3.0925925925925881</v>
      </c>
      <c r="AF47" s="2">
        <v>105.66666666666666</v>
      </c>
      <c r="AG47" s="2">
        <v>2702.6666666666665</v>
      </c>
      <c r="AH47" s="2">
        <v>2817.333333333333</v>
      </c>
      <c r="AI47" s="2">
        <v>704.38888888888903</v>
      </c>
      <c r="AJ47" s="2">
        <v>1192.2777777777781</v>
      </c>
      <c r="AK47" s="2">
        <v>895.11111111111097</v>
      </c>
      <c r="AL47" s="2">
        <v>286.94444444444446</v>
      </c>
      <c r="AM47" s="2">
        <v>706.05555555555554</v>
      </c>
    </row>
    <row r="48" spans="1:56">
      <c r="M48" s="2">
        <v>0.44444444444444442</v>
      </c>
      <c r="N48" s="2">
        <v>168.77777777777777</v>
      </c>
      <c r="O48" s="2">
        <v>63.888888888888886</v>
      </c>
      <c r="P48" s="2">
        <v>38.981481481481481</v>
      </c>
      <c r="Q48" s="2">
        <v>73.462962962962962</v>
      </c>
      <c r="R48" s="2">
        <v>45.851851851851848</v>
      </c>
      <c r="S48" s="2">
        <v>57.24074074074074</v>
      </c>
      <c r="T48" s="2">
        <v>43.092592592592588</v>
      </c>
      <c r="V48" s="2">
        <v>0.55555555555555558</v>
      </c>
      <c r="W48" s="2">
        <v>-4.7777777777777715</v>
      </c>
      <c r="X48" s="2">
        <v>-1.8888888888888857</v>
      </c>
      <c r="Y48" s="2">
        <v>1.8518518518519045E-2</v>
      </c>
      <c r="Z48" s="2">
        <v>-0.46296296296296191</v>
      </c>
      <c r="AA48" s="2">
        <v>-1.8518518518518476</v>
      </c>
      <c r="AB48" s="2">
        <v>-2.2407407407407405</v>
      </c>
      <c r="AC48" s="2">
        <v>0.90740740740741188</v>
      </c>
      <c r="AF48" s="2">
        <v>124.33333333333333</v>
      </c>
      <c r="AG48" s="2">
        <v>2817.333333333333</v>
      </c>
      <c r="AH48" s="2">
        <v>4260.6666666666661</v>
      </c>
      <c r="AI48" s="2">
        <v>809.94444444444446</v>
      </c>
      <c r="AJ48" s="2">
        <v>1353.3888888888889</v>
      </c>
      <c r="AK48" s="2">
        <v>1123.5555555555554</v>
      </c>
      <c r="AL48" s="2">
        <v>379.72222222222223</v>
      </c>
      <c r="AM48" s="2">
        <v>754.77777777777783</v>
      </c>
    </row>
    <row r="49" spans="13:39">
      <c r="M49" s="2">
        <v>0.44444444444444442</v>
      </c>
      <c r="N49" s="2">
        <v>168.77777777777777</v>
      </c>
      <c r="O49" s="2">
        <v>63.888888888888886</v>
      </c>
      <c r="P49" s="2">
        <v>38.981481481481481</v>
      </c>
      <c r="Q49" s="2">
        <v>73.462962962962962</v>
      </c>
      <c r="R49" s="2">
        <v>45.851851851851848</v>
      </c>
      <c r="S49" s="2">
        <v>57.24074074074074</v>
      </c>
      <c r="T49" s="2">
        <v>43.092592592592588</v>
      </c>
      <c r="V49" s="2">
        <v>-0.44444444444444442</v>
      </c>
      <c r="W49" s="2">
        <v>3.2222222222222285</v>
      </c>
      <c r="X49" s="2">
        <v>1.1111111111111143</v>
      </c>
      <c r="Y49" s="2">
        <v>-0.98148148148148096</v>
      </c>
      <c r="Z49" s="2">
        <v>1.5370370370370381</v>
      </c>
      <c r="AA49" s="2">
        <v>2.1481481481481524</v>
      </c>
      <c r="AB49" s="2">
        <v>0.75925925925925952</v>
      </c>
      <c r="AC49" s="2">
        <v>0.90740740740741188</v>
      </c>
      <c r="AF49" s="2">
        <v>32.222222222222214</v>
      </c>
      <c r="AG49" s="2">
        <v>704.38888888888903</v>
      </c>
      <c r="AH49" s="2">
        <v>809.94444444444446</v>
      </c>
      <c r="AI49" s="2">
        <v>213.24074074074079</v>
      </c>
      <c r="AJ49" s="2">
        <v>314.48148148148147</v>
      </c>
      <c r="AK49" s="2">
        <v>238.92592592592592</v>
      </c>
      <c r="AL49" s="2">
        <v>75.120370370370367</v>
      </c>
      <c r="AM49" s="2">
        <v>200.04629629629628</v>
      </c>
    </row>
    <row r="50" spans="13:39">
      <c r="M50" s="2">
        <v>0.44444444444444442</v>
      </c>
      <c r="N50" s="2">
        <v>168.77777777777777</v>
      </c>
      <c r="O50" s="2">
        <v>63.888888888888886</v>
      </c>
      <c r="P50" s="2">
        <v>38.981481481481481</v>
      </c>
      <c r="Q50" s="2">
        <v>73.462962962962962</v>
      </c>
      <c r="R50" s="2">
        <v>45.851851851851848</v>
      </c>
      <c r="S50" s="2">
        <v>57.24074074074074</v>
      </c>
      <c r="T50" s="2">
        <v>43.092592592592588</v>
      </c>
      <c r="V50" s="2">
        <v>-0.44444444444444442</v>
      </c>
      <c r="W50" s="2">
        <v>-1.7777777777777715</v>
      </c>
      <c r="X50" s="2">
        <v>-11.888888888888886</v>
      </c>
      <c r="Y50" s="2">
        <v>-1.981481481481481</v>
      </c>
      <c r="Z50" s="2">
        <v>-0.46296296296296191</v>
      </c>
      <c r="AA50" s="2">
        <v>-4.3518518518518476</v>
      </c>
      <c r="AB50" s="2">
        <v>0.75925925925925952</v>
      </c>
      <c r="AC50" s="2">
        <v>0.90740740740741188</v>
      </c>
      <c r="AF50" s="2">
        <v>51.44444444444445</v>
      </c>
      <c r="AG50" s="2">
        <v>1192.2777777777781</v>
      </c>
      <c r="AH50" s="2">
        <v>1353.3888888888889</v>
      </c>
      <c r="AI50" s="2">
        <v>314.48148148148147</v>
      </c>
      <c r="AJ50" s="2">
        <v>638.96296296296282</v>
      </c>
      <c r="AK50" s="2">
        <v>415.35185185185196</v>
      </c>
      <c r="AL50" s="2">
        <v>112.74074074074073</v>
      </c>
      <c r="AM50" s="2">
        <v>311.34259259259255</v>
      </c>
    </row>
    <row r="51" spans="13:39">
      <c r="M51" s="2">
        <v>0.44444444444444442</v>
      </c>
      <c r="N51" s="2">
        <v>168.77777777777777</v>
      </c>
      <c r="O51" s="2">
        <v>63.888888888888886</v>
      </c>
      <c r="P51" s="2">
        <v>38.981481481481481</v>
      </c>
      <c r="Q51" s="2">
        <v>73.462962962962962</v>
      </c>
      <c r="R51" s="2">
        <v>45.851851851851848</v>
      </c>
      <c r="S51" s="2">
        <v>57.24074074074074</v>
      </c>
      <c r="T51" s="2">
        <v>43.092592592592588</v>
      </c>
      <c r="V51" s="2">
        <v>-0.44444444444444442</v>
      </c>
      <c r="W51" s="2">
        <v>-4.7777777777777715</v>
      </c>
      <c r="X51" s="2">
        <v>-12.888888888888886</v>
      </c>
      <c r="Y51" s="2">
        <v>-2.981481481481481</v>
      </c>
      <c r="Z51" s="2">
        <v>-2.4629629629629619</v>
      </c>
      <c r="AA51" s="2">
        <v>-1.3518518518518476</v>
      </c>
      <c r="AB51" s="2">
        <v>-3.2407407407407405</v>
      </c>
      <c r="AC51" s="2">
        <v>-3.0925925925925881</v>
      </c>
      <c r="AF51" s="2">
        <v>37.777777777777779</v>
      </c>
      <c r="AG51" s="2">
        <v>895.11111111111097</v>
      </c>
      <c r="AH51" s="2">
        <v>1123.5555555555554</v>
      </c>
      <c r="AI51" s="2">
        <v>238.92592592592592</v>
      </c>
      <c r="AJ51" s="2">
        <v>415.35185185185196</v>
      </c>
      <c r="AK51" s="2">
        <v>420.40740740740733</v>
      </c>
      <c r="AL51" s="2">
        <v>120.71296296296299</v>
      </c>
      <c r="AM51" s="2">
        <v>208.12037037037035</v>
      </c>
    </row>
    <row r="52" spans="13:39">
      <c r="M52" s="2">
        <v>0.44444444444444442</v>
      </c>
      <c r="N52" s="2">
        <v>168.77777777777777</v>
      </c>
      <c r="O52" s="2">
        <v>63.888888888888886</v>
      </c>
      <c r="P52" s="2">
        <v>38.981481481481481</v>
      </c>
      <c r="Q52" s="2">
        <v>73.462962962962962</v>
      </c>
      <c r="R52" s="2">
        <v>45.851851851851848</v>
      </c>
      <c r="S52" s="2">
        <v>57.24074074074074</v>
      </c>
      <c r="T52" s="2">
        <v>43.092592592592588</v>
      </c>
      <c r="V52" s="2">
        <v>-0.44444444444444442</v>
      </c>
      <c r="W52" s="2">
        <v>-7.7777777777777715</v>
      </c>
      <c r="X52" s="2">
        <v>3.1111111111111143</v>
      </c>
      <c r="Y52" s="2">
        <v>-0.98148148148148096</v>
      </c>
      <c r="Z52" s="2">
        <v>-2.4629629629629619</v>
      </c>
      <c r="AA52" s="2">
        <v>-1.8518518518518476</v>
      </c>
      <c r="AB52" s="2">
        <v>-1.2407407407407405</v>
      </c>
      <c r="AC52" s="2">
        <v>-1.0925925925925881</v>
      </c>
      <c r="AF52" s="2">
        <v>9.1111111111111107</v>
      </c>
      <c r="AG52" s="2">
        <v>286.94444444444446</v>
      </c>
      <c r="AH52" s="2">
        <v>379.72222222222223</v>
      </c>
      <c r="AI52" s="2">
        <v>75.120370370370367</v>
      </c>
      <c r="AJ52" s="2">
        <v>112.74074074074073</v>
      </c>
      <c r="AK52" s="2">
        <v>120.71296296296299</v>
      </c>
      <c r="AL52" s="2">
        <v>88.185185185185134</v>
      </c>
      <c r="AM52" s="2">
        <v>83.89814814814811</v>
      </c>
    </row>
    <row r="53" spans="13:39">
      <c r="M53" s="2">
        <v>0.44444444444444442</v>
      </c>
      <c r="N53" s="2">
        <v>168.77777777777777</v>
      </c>
      <c r="O53" s="2">
        <v>63.888888888888886</v>
      </c>
      <c r="P53" s="2">
        <v>38.981481481481481</v>
      </c>
      <c r="Q53" s="2">
        <v>73.462962962962962</v>
      </c>
      <c r="R53" s="2">
        <v>45.851851851851848</v>
      </c>
      <c r="S53" s="2">
        <v>57.24074074074074</v>
      </c>
      <c r="T53" s="2">
        <v>43.092592592592588</v>
      </c>
      <c r="V53" s="2">
        <v>-0.44444444444444442</v>
      </c>
      <c r="W53" s="2">
        <v>-0.77777777777777146</v>
      </c>
      <c r="X53" s="2">
        <v>-15.888888888888886</v>
      </c>
      <c r="Y53" s="2">
        <v>1.8518518518519045E-2</v>
      </c>
      <c r="Z53" s="2">
        <v>-0.96296296296296191</v>
      </c>
      <c r="AA53" s="2">
        <v>-4.8518518518518476</v>
      </c>
      <c r="AB53" s="2">
        <v>-2.7407407407407405</v>
      </c>
      <c r="AC53" s="2">
        <v>-9.2592592592588119E-2</v>
      </c>
      <c r="AF53" s="2">
        <v>30.388888888888893</v>
      </c>
      <c r="AG53" s="2">
        <v>706.05555555555554</v>
      </c>
      <c r="AH53" s="2">
        <v>754.77777777777783</v>
      </c>
      <c r="AI53" s="2">
        <v>200.04629629629628</v>
      </c>
      <c r="AJ53" s="2">
        <v>311.34259259259255</v>
      </c>
      <c r="AK53" s="2">
        <v>208.12037037037035</v>
      </c>
      <c r="AL53" s="2">
        <v>83.89814814814811</v>
      </c>
      <c r="AM53" s="2">
        <v>259.01851851851848</v>
      </c>
    </row>
    <row r="54" spans="13:39">
      <c r="M54" s="2">
        <v>0.44444444444444442</v>
      </c>
      <c r="N54" s="2">
        <v>168.77777777777777</v>
      </c>
      <c r="O54" s="2">
        <v>63.888888888888886</v>
      </c>
      <c r="P54" s="2">
        <v>38.981481481481481</v>
      </c>
      <c r="Q54" s="2">
        <v>73.462962962962962</v>
      </c>
      <c r="R54" s="2">
        <v>45.851851851851848</v>
      </c>
      <c r="S54" s="2">
        <v>57.24074074074074</v>
      </c>
      <c r="T54" s="2">
        <v>43.092592592592588</v>
      </c>
      <c r="V54" s="2">
        <v>0.55555555555555558</v>
      </c>
      <c r="W54" s="2">
        <v>12.222222222222229</v>
      </c>
      <c r="X54" s="2">
        <v>10.111111111111114</v>
      </c>
      <c r="Y54" s="2">
        <v>4.018518518518519</v>
      </c>
      <c r="Z54" s="2">
        <v>0.53703703703703809</v>
      </c>
      <c r="AA54" s="2">
        <v>4.1481481481481524</v>
      </c>
      <c r="AB54" s="2">
        <v>2.7592592592592595</v>
      </c>
      <c r="AC54" s="2">
        <v>3.9074074074074119</v>
      </c>
    </row>
    <row r="55" spans="13:39">
      <c r="M55" s="2">
        <v>0.44444444444444442</v>
      </c>
      <c r="N55" s="2">
        <v>168.77777777777777</v>
      </c>
      <c r="O55" s="2">
        <v>63.888888888888886</v>
      </c>
      <c r="P55" s="2">
        <v>38.981481481481481</v>
      </c>
      <c r="Q55" s="2">
        <v>73.462962962962962</v>
      </c>
      <c r="R55" s="2">
        <v>45.851851851851848</v>
      </c>
      <c r="S55" s="2">
        <v>57.24074074074074</v>
      </c>
      <c r="T55" s="2">
        <v>43.092592592592588</v>
      </c>
      <c r="V55" s="2">
        <v>0.55555555555555558</v>
      </c>
      <c r="W55" s="2">
        <v>14.222222222222229</v>
      </c>
      <c r="X55" s="2">
        <v>10.111111111111114</v>
      </c>
      <c r="Y55" s="2">
        <v>2.018518518518519</v>
      </c>
      <c r="Z55" s="2">
        <v>5.5370370370370381</v>
      </c>
      <c r="AA55" s="2">
        <v>1.6481481481481524</v>
      </c>
      <c r="AB55" s="2">
        <v>2.2592592592592595</v>
      </c>
      <c r="AC55" s="2">
        <v>3.9074074074074119</v>
      </c>
    </row>
    <row r="56" spans="13:39">
      <c r="M56" s="2">
        <v>0.44444444444444442</v>
      </c>
      <c r="N56" s="2">
        <v>168.77777777777777</v>
      </c>
      <c r="O56" s="2">
        <v>63.888888888888886</v>
      </c>
      <c r="P56" s="2">
        <v>38.981481481481481</v>
      </c>
      <c r="Q56" s="2">
        <v>73.462962962962962</v>
      </c>
      <c r="R56" s="2">
        <v>45.851851851851848</v>
      </c>
      <c r="S56" s="2">
        <v>57.24074074074074</v>
      </c>
      <c r="T56" s="2">
        <v>43.092592592592588</v>
      </c>
      <c r="V56" s="2">
        <v>-0.44444444444444442</v>
      </c>
      <c r="W56" s="2">
        <v>-10.777777777777771</v>
      </c>
      <c r="X56" s="2">
        <v>-13.888888888888886</v>
      </c>
      <c r="Y56" s="2">
        <v>-2.981481481481481</v>
      </c>
      <c r="Z56" s="2">
        <v>-4.9629629629629619</v>
      </c>
      <c r="AA56" s="2">
        <v>-1.8518518518518476</v>
      </c>
      <c r="AB56" s="2">
        <v>-0.24074074074074048</v>
      </c>
      <c r="AC56" s="2">
        <v>-2.0925925925925881</v>
      </c>
    </row>
    <row r="57" spans="13:39">
      <c r="M57" s="2">
        <v>0.44444444444444442</v>
      </c>
      <c r="N57" s="2">
        <v>168.77777777777777</v>
      </c>
      <c r="O57" s="2">
        <v>63.888888888888886</v>
      </c>
      <c r="P57" s="2">
        <v>38.981481481481481</v>
      </c>
      <c r="Q57" s="2">
        <v>73.462962962962962</v>
      </c>
      <c r="R57" s="2">
        <v>45.851851851851848</v>
      </c>
      <c r="S57" s="2">
        <v>57.24074074074074</v>
      </c>
      <c r="T57" s="2">
        <v>43.092592592592588</v>
      </c>
      <c r="V57" s="2">
        <v>-0.44444444444444442</v>
      </c>
      <c r="W57" s="2">
        <v>-12.777777777777771</v>
      </c>
      <c r="X57" s="2">
        <v>1.1111111111111143</v>
      </c>
      <c r="Y57" s="2">
        <v>-2.981481481481481</v>
      </c>
      <c r="Z57" s="2">
        <v>-5.4629629629629619</v>
      </c>
      <c r="AA57" s="2">
        <v>0.14814814814815236</v>
      </c>
      <c r="AB57" s="2">
        <v>0.75925925925925952</v>
      </c>
      <c r="AC57" s="2">
        <v>-2.0925925925925881</v>
      </c>
    </row>
    <row r="58" spans="13:39">
      <c r="M58" s="2">
        <v>0.44444444444444442</v>
      </c>
      <c r="N58" s="2">
        <v>168.77777777777777</v>
      </c>
      <c r="O58" s="2">
        <v>63.888888888888886</v>
      </c>
      <c r="P58" s="2">
        <v>38.981481481481481</v>
      </c>
      <c r="Q58" s="2">
        <v>73.462962962962962</v>
      </c>
      <c r="R58" s="2">
        <v>45.851851851851848</v>
      </c>
      <c r="S58" s="2">
        <v>57.24074074074074</v>
      </c>
      <c r="T58" s="2">
        <v>43.092592592592588</v>
      </c>
      <c r="V58" s="2">
        <v>0.55555555555555558</v>
      </c>
      <c r="W58" s="2">
        <v>4.2222222222222285</v>
      </c>
      <c r="X58" s="2">
        <v>0.11111111111111427</v>
      </c>
      <c r="Y58" s="2">
        <v>1.018518518518519</v>
      </c>
      <c r="Z58" s="2">
        <v>5.5370370370370381</v>
      </c>
      <c r="AA58" s="2">
        <v>2.1481481481481524</v>
      </c>
      <c r="AB58" s="2">
        <v>-0.74074074074074048</v>
      </c>
      <c r="AC58" s="2">
        <v>3.9074074074074119</v>
      </c>
      <c r="AF58" s="8" cm="1">
        <f t="array" ref="AF58:AM65">+L75*_xlfn.ANCHORARRAY(AF46)</f>
        <v>0.25641025641025644</v>
      </c>
      <c r="AG58" s="2">
        <v>4.0641025641025639</v>
      </c>
      <c r="AH58" s="2">
        <v>4.7820512820512819</v>
      </c>
      <c r="AI58" s="2">
        <v>1.2393162393162391</v>
      </c>
      <c r="AJ58" s="2">
        <v>1.9786324786324789</v>
      </c>
      <c r="AK58" s="2">
        <v>1.4529914529914532</v>
      </c>
      <c r="AL58" s="2">
        <v>0.35042735042735046</v>
      </c>
      <c r="AM58" s="2">
        <v>1.1688034188034191</v>
      </c>
    </row>
    <row r="59" spans="13:39">
      <c r="M59" s="2">
        <v>0.44444444444444442</v>
      </c>
      <c r="N59" s="2">
        <v>168.77777777777777</v>
      </c>
      <c r="O59" s="2">
        <v>63.888888888888886</v>
      </c>
      <c r="P59" s="2">
        <v>38.981481481481481</v>
      </c>
      <c r="Q59" s="2">
        <v>73.462962962962962</v>
      </c>
      <c r="R59" s="2">
        <v>45.851851851851848</v>
      </c>
      <c r="S59" s="2">
        <v>57.24074074074074</v>
      </c>
      <c r="T59" s="2">
        <v>43.092592592592588</v>
      </c>
      <c r="V59" s="2">
        <v>-0.44444444444444442</v>
      </c>
      <c r="W59" s="2">
        <v>-10.777777777777771</v>
      </c>
      <c r="X59" s="2">
        <v>-20.888888888888886</v>
      </c>
      <c r="Y59" s="2">
        <v>-2.981481481481481</v>
      </c>
      <c r="Z59" s="2">
        <v>-5.4629629629629619</v>
      </c>
      <c r="AA59" s="2">
        <v>-2.8518518518518476</v>
      </c>
      <c r="AB59" s="2">
        <v>-2.2407407407407405</v>
      </c>
      <c r="AC59" s="2">
        <v>-4.0925925925925881</v>
      </c>
      <c r="AF59" s="2">
        <v>4.0641025641025639</v>
      </c>
      <c r="AG59" s="8">
        <v>103.94871794871794</v>
      </c>
      <c r="AH59" s="2">
        <v>108.35897435897435</v>
      </c>
      <c r="AI59" s="2">
        <v>27.091880341880348</v>
      </c>
      <c r="AJ59" s="2">
        <v>45.856837606837622</v>
      </c>
      <c r="AK59" s="2">
        <v>34.427350427350426</v>
      </c>
      <c r="AL59" s="2">
        <v>11.036324786324787</v>
      </c>
      <c r="AM59" s="2">
        <v>27.155982905982906</v>
      </c>
    </row>
    <row r="60" spans="13:39">
      <c r="M60" s="2">
        <v>0.44444444444444442</v>
      </c>
      <c r="N60" s="2">
        <v>168.77777777777777</v>
      </c>
      <c r="O60" s="2">
        <v>63.888888888888886</v>
      </c>
      <c r="P60" s="2">
        <v>38.981481481481481</v>
      </c>
      <c r="Q60" s="2">
        <v>73.462962962962962</v>
      </c>
      <c r="R60" s="2">
        <v>45.851851851851848</v>
      </c>
      <c r="S60" s="2">
        <v>57.24074074074074</v>
      </c>
      <c r="T60" s="2">
        <v>43.092592592592588</v>
      </c>
      <c r="V60" s="2">
        <v>0.55555555555555558</v>
      </c>
      <c r="W60" s="2">
        <v>9.2222222222222285</v>
      </c>
      <c r="X60" s="2">
        <v>10.111111111111114</v>
      </c>
      <c r="Y60" s="2">
        <v>3.018518518518519</v>
      </c>
      <c r="Z60" s="2">
        <v>1.5370370370370381</v>
      </c>
      <c r="AA60" s="2">
        <v>4.1481481481481524</v>
      </c>
      <c r="AB60" s="2">
        <v>1.7592592592592595</v>
      </c>
      <c r="AC60" s="2">
        <v>1.9074074074074119</v>
      </c>
      <c r="AF60" s="2">
        <v>4.7820512820512819</v>
      </c>
      <c r="AG60" s="2">
        <v>108.35897435897435</v>
      </c>
      <c r="AH60" s="8">
        <v>163.87179487179486</v>
      </c>
      <c r="AI60" s="2">
        <v>31.151709401709404</v>
      </c>
      <c r="AJ60" s="2">
        <v>52.053418803418808</v>
      </c>
      <c r="AK60" s="2">
        <v>43.213675213675209</v>
      </c>
      <c r="AL60" s="2">
        <v>14.604700854700855</v>
      </c>
      <c r="AM60" s="2">
        <v>29.029914529914535</v>
      </c>
    </row>
    <row r="61" spans="13:39">
      <c r="M61" s="2">
        <v>0.44444444444444442</v>
      </c>
      <c r="N61" s="2">
        <v>168.77777777777777</v>
      </c>
      <c r="O61" s="2">
        <v>63.888888888888886</v>
      </c>
      <c r="P61" s="2">
        <v>38.981481481481481</v>
      </c>
      <c r="Q61" s="2">
        <v>73.462962962962962</v>
      </c>
      <c r="R61" s="2">
        <v>45.851851851851848</v>
      </c>
      <c r="S61" s="2">
        <v>57.24074074074074</v>
      </c>
      <c r="T61" s="2">
        <v>43.092592592592588</v>
      </c>
      <c r="V61" s="2">
        <v>0.55555555555555558</v>
      </c>
      <c r="W61" s="2">
        <v>12.222222222222229</v>
      </c>
      <c r="X61" s="2">
        <v>12.111111111111114</v>
      </c>
      <c r="Y61" s="2">
        <v>4.018518518518519</v>
      </c>
      <c r="Z61" s="2">
        <v>9.5370370370370381</v>
      </c>
      <c r="AA61" s="2">
        <v>5.1481481481481524</v>
      </c>
      <c r="AB61" s="2">
        <v>-0.24074074074074048</v>
      </c>
      <c r="AC61" s="2">
        <v>-9.2592592592588119E-2</v>
      </c>
      <c r="AF61" s="2">
        <v>1.2393162393162391</v>
      </c>
      <c r="AG61" s="2">
        <v>27.091880341880348</v>
      </c>
      <c r="AH61" s="2">
        <v>31.151709401709404</v>
      </c>
      <c r="AI61" s="8">
        <v>8.2015669515669547</v>
      </c>
      <c r="AJ61" s="2">
        <v>12.095441595441596</v>
      </c>
      <c r="AK61" s="2">
        <v>9.1894586894586894</v>
      </c>
      <c r="AL61" s="2">
        <v>2.8892450142450143</v>
      </c>
      <c r="AM61" s="2">
        <v>7.6940883190883191</v>
      </c>
    </row>
    <row r="62" spans="13:39">
      <c r="M62" s="2">
        <v>0.44444444444444442</v>
      </c>
      <c r="N62" s="2">
        <v>168.77777777777777</v>
      </c>
      <c r="O62" s="2">
        <v>63.888888888888886</v>
      </c>
      <c r="P62" s="2">
        <v>38.981481481481481</v>
      </c>
      <c r="Q62" s="2">
        <v>73.462962962962962</v>
      </c>
      <c r="R62" s="2">
        <v>45.851851851851848</v>
      </c>
      <c r="S62" s="2">
        <v>57.24074074074074</v>
      </c>
      <c r="T62" s="2">
        <v>43.092592592592588</v>
      </c>
      <c r="V62" s="2">
        <v>0.55555555555555558</v>
      </c>
      <c r="W62" s="2">
        <v>13.222222222222229</v>
      </c>
      <c r="X62" s="2">
        <v>27.111111111111114</v>
      </c>
      <c r="Y62" s="2">
        <v>2.018518518518519</v>
      </c>
      <c r="Z62" s="2">
        <v>9.5370370370370381</v>
      </c>
      <c r="AA62" s="2">
        <v>7.1481481481481524</v>
      </c>
      <c r="AB62" s="2">
        <v>1.7592592592592595</v>
      </c>
      <c r="AC62" s="2">
        <v>-9.2592592592588119E-2</v>
      </c>
      <c r="AF62" s="2">
        <v>1.9786324786324789</v>
      </c>
      <c r="AG62" s="2">
        <v>45.856837606837622</v>
      </c>
      <c r="AH62" s="2">
        <v>52.053418803418808</v>
      </c>
      <c r="AI62" s="2">
        <v>12.095441595441596</v>
      </c>
      <c r="AJ62" s="8">
        <v>24.575498575498571</v>
      </c>
      <c r="AK62" s="2">
        <v>15.975071225071231</v>
      </c>
      <c r="AL62" s="2">
        <v>4.3361823361823362</v>
      </c>
      <c r="AM62" s="2">
        <v>11.974715099715098</v>
      </c>
    </row>
    <row r="63" spans="13:39">
      <c r="M63" s="2">
        <v>0.44444444444444442</v>
      </c>
      <c r="N63" s="2">
        <v>168.77777777777777</v>
      </c>
      <c r="O63" s="2">
        <v>63.888888888888886</v>
      </c>
      <c r="P63" s="2">
        <v>38.981481481481481</v>
      </c>
      <c r="Q63" s="2">
        <v>73.462962962962962</v>
      </c>
      <c r="R63" s="2">
        <v>45.851851851851848</v>
      </c>
      <c r="S63" s="2">
        <v>57.24074074074074</v>
      </c>
      <c r="T63" s="2">
        <v>43.092592592592588</v>
      </c>
      <c r="V63" s="2">
        <v>0.55555555555555558</v>
      </c>
      <c r="W63" s="2">
        <v>7.2222222222222285</v>
      </c>
      <c r="X63" s="2">
        <v>9.1111111111111143</v>
      </c>
      <c r="Y63" s="2">
        <v>3.018518518518519</v>
      </c>
      <c r="Z63" s="2">
        <v>4.5370370370370381</v>
      </c>
      <c r="AA63" s="2">
        <v>2.1481481481481524</v>
      </c>
      <c r="AB63" s="2">
        <v>0.75925925925925952</v>
      </c>
      <c r="AC63" s="2">
        <v>1.9074074074074119</v>
      </c>
      <c r="AF63" s="2">
        <v>1.4529914529914532</v>
      </c>
      <c r="AG63" s="2">
        <v>34.427350427350426</v>
      </c>
      <c r="AH63" s="2">
        <v>43.213675213675209</v>
      </c>
      <c r="AI63" s="2">
        <v>9.1894586894586894</v>
      </c>
      <c r="AJ63" s="2">
        <v>15.975071225071231</v>
      </c>
      <c r="AK63" s="8">
        <v>16.169515669515668</v>
      </c>
      <c r="AL63" s="2">
        <v>4.6428062678062689</v>
      </c>
      <c r="AM63" s="2">
        <v>8.0046296296296298</v>
      </c>
    </row>
    <row r="64" spans="13:39">
      <c r="M64" s="2">
        <v>0.44444444444444442</v>
      </c>
      <c r="N64" s="2">
        <v>168.77777777777777</v>
      </c>
      <c r="O64" s="2">
        <v>63.888888888888886</v>
      </c>
      <c r="P64" s="2">
        <v>38.981481481481481</v>
      </c>
      <c r="Q64" s="2">
        <v>73.462962962962962</v>
      </c>
      <c r="R64" s="2">
        <v>45.851851851851848</v>
      </c>
      <c r="S64" s="2">
        <v>57.24074074074074</v>
      </c>
      <c r="T64" s="2">
        <v>43.092592592592588</v>
      </c>
      <c r="V64" s="2">
        <v>-0.44444444444444442</v>
      </c>
      <c r="W64" s="2">
        <v>-6.7777777777777715</v>
      </c>
      <c r="X64" s="2">
        <v>4.1111111111111143</v>
      </c>
      <c r="Y64" s="2">
        <v>1.8518518518519045E-2</v>
      </c>
      <c r="Z64" s="2">
        <v>-1.4629629629629619</v>
      </c>
      <c r="AA64" s="2">
        <v>-1.8518518518518476</v>
      </c>
      <c r="AB64" s="2">
        <v>1.7592592592592595</v>
      </c>
      <c r="AC64" s="2">
        <v>-1.0925925925925881</v>
      </c>
      <c r="AF64" s="2">
        <v>0.35042735042735046</v>
      </c>
      <c r="AG64" s="2">
        <v>11.036324786324787</v>
      </c>
      <c r="AH64" s="2">
        <v>14.604700854700855</v>
      </c>
      <c r="AI64" s="2">
        <v>2.8892450142450143</v>
      </c>
      <c r="AJ64" s="2">
        <v>4.3361823361823362</v>
      </c>
      <c r="AK64" s="2">
        <v>4.6428062678062689</v>
      </c>
      <c r="AL64" s="8">
        <v>3.3917378917378898</v>
      </c>
      <c r="AM64" s="2">
        <v>3.2268518518518507</v>
      </c>
    </row>
    <row r="65" spans="3:39">
      <c r="M65" s="2">
        <v>0.44444444444444442</v>
      </c>
      <c r="N65" s="2">
        <v>168.77777777777777</v>
      </c>
      <c r="O65" s="2">
        <v>63.888888888888886</v>
      </c>
      <c r="P65" s="2">
        <v>38.981481481481481</v>
      </c>
      <c r="Q65" s="2">
        <v>73.462962962962962</v>
      </c>
      <c r="R65" s="2">
        <v>45.851851851851848</v>
      </c>
      <c r="S65" s="2">
        <v>57.24074074074074</v>
      </c>
      <c r="T65" s="2">
        <v>43.092592592592588</v>
      </c>
      <c r="V65" s="2">
        <v>-0.44444444444444442</v>
      </c>
      <c r="W65" s="2">
        <v>-12.777777777777771</v>
      </c>
      <c r="X65" s="2">
        <v>-11.888888888888886</v>
      </c>
      <c r="Y65" s="2">
        <v>-2.981481481481481</v>
      </c>
      <c r="Z65" s="2">
        <v>-6.4629629629629619</v>
      </c>
      <c r="AA65" s="2">
        <v>-9.8518518518518476</v>
      </c>
      <c r="AB65" s="2">
        <v>-1.2407407407407405</v>
      </c>
      <c r="AC65" s="2">
        <v>-2.0925925925925881</v>
      </c>
      <c r="AF65" s="2">
        <v>1.1688034188034191</v>
      </c>
      <c r="AG65" s="2">
        <v>27.155982905982906</v>
      </c>
      <c r="AH65" s="2">
        <v>29.029914529914535</v>
      </c>
      <c r="AI65" s="2">
        <v>7.6940883190883191</v>
      </c>
      <c r="AJ65" s="2">
        <v>11.974715099715098</v>
      </c>
      <c r="AK65" s="2">
        <v>8.0046296296296298</v>
      </c>
      <c r="AL65" s="2">
        <v>3.2268518518518507</v>
      </c>
      <c r="AM65" s="8">
        <v>9.9622507122507109</v>
      </c>
    </row>
    <row r="66" spans="3:39">
      <c r="M66" s="2">
        <v>0.44444444444444442</v>
      </c>
      <c r="N66" s="2">
        <v>168.77777777777777</v>
      </c>
      <c r="O66" s="2">
        <v>63.888888888888886</v>
      </c>
      <c r="P66" s="2">
        <v>38.981481481481481</v>
      </c>
      <c r="Q66" s="2">
        <v>73.462962962962962</v>
      </c>
      <c r="R66" s="2">
        <v>45.851851851851848</v>
      </c>
      <c r="S66" s="2">
        <v>57.24074074074074</v>
      </c>
      <c r="T66" s="2">
        <v>43.092592592592588</v>
      </c>
      <c r="V66" s="2">
        <v>-0.44444444444444442</v>
      </c>
      <c r="W66" s="2">
        <v>-16.777777777777771</v>
      </c>
      <c r="X66" s="2">
        <v>-18.888888888888886</v>
      </c>
      <c r="Y66" s="2">
        <v>-4.981481481481481</v>
      </c>
      <c r="Z66" s="2">
        <v>-7.4629629629629619</v>
      </c>
      <c r="AA66" s="2">
        <v>-5.8518518518518476</v>
      </c>
      <c r="AB66" s="2">
        <v>-2.2407407407407405</v>
      </c>
      <c r="AC66" s="2">
        <v>-5.0925925925925881</v>
      </c>
    </row>
    <row r="67" spans="3:39">
      <c r="M67" s="2">
        <v>0.44444444444444442</v>
      </c>
      <c r="N67" s="2">
        <v>168.77777777777777</v>
      </c>
      <c r="O67" s="2">
        <v>63.888888888888886</v>
      </c>
      <c r="P67" s="2">
        <v>38.981481481481481</v>
      </c>
      <c r="Q67" s="2">
        <v>73.462962962962962</v>
      </c>
      <c r="R67" s="2">
        <v>45.851851851851848</v>
      </c>
      <c r="S67" s="2">
        <v>57.24074074074074</v>
      </c>
      <c r="T67" s="2">
        <v>43.092592592592588</v>
      </c>
      <c r="V67" s="2">
        <v>0.55555555555555558</v>
      </c>
      <c r="W67" s="2">
        <v>12.222222222222229</v>
      </c>
      <c r="X67" s="2">
        <v>16.111111111111114</v>
      </c>
      <c r="Y67" s="2">
        <v>4.018518518518519</v>
      </c>
      <c r="Z67" s="2">
        <v>2.5370370370370381</v>
      </c>
      <c r="AA67" s="2">
        <v>3.1481481481481524</v>
      </c>
      <c r="AB67" s="2">
        <v>-0.24074074074074048</v>
      </c>
      <c r="AC67" s="2">
        <v>2.9074074074074119</v>
      </c>
    </row>
    <row r="68" spans="3:39">
      <c r="M68" s="2">
        <v>0.44444444444444442</v>
      </c>
      <c r="N68" s="2">
        <v>168.77777777777777</v>
      </c>
      <c r="O68" s="2">
        <v>63.888888888888886</v>
      </c>
      <c r="P68" s="2">
        <v>38.981481481481481</v>
      </c>
      <c r="Q68" s="2">
        <v>73.462962962962962</v>
      </c>
      <c r="R68" s="2">
        <v>45.851851851851848</v>
      </c>
      <c r="S68" s="2">
        <v>57.24074074074074</v>
      </c>
      <c r="T68" s="2">
        <v>43.092592592592588</v>
      </c>
      <c r="V68" s="2">
        <v>0.55555555555555558</v>
      </c>
      <c r="W68" s="2">
        <v>4.2222222222222285</v>
      </c>
      <c r="X68" s="2">
        <v>5.1111111111111143</v>
      </c>
      <c r="Y68" s="2">
        <v>2.018518518518519</v>
      </c>
      <c r="Z68" s="2">
        <v>0.53703703703703809</v>
      </c>
      <c r="AA68" s="2">
        <v>2.1481481481481524</v>
      </c>
      <c r="AB68" s="2">
        <v>-1.2407407407407405</v>
      </c>
      <c r="AC68" s="2">
        <v>0.90740740740741188</v>
      </c>
    </row>
    <row r="69" spans="3:39">
      <c r="M69" s="2">
        <v>0.44444444444444442</v>
      </c>
      <c r="N69" s="2">
        <v>168.77777777777777</v>
      </c>
      <c r="O69" s="2">
        <v>63.888888888888886</v>
      </c>
      <c r="P69" s="2">
        <v>38.981481481481481</v>
      </c>
      <c r="Q69" s="2">
        <v>73.462962962962962</v>
      </c>
      <c r="R69" s="2">
        <v>45.851851851851848</v>
      </c>
      <c r="S69" s="2">
        <v>57.24074074074074</v>
      </c>
      <c r="T69" s="2">
        <v>43.092592592592588</v>
      </c>
      <c r="V69" s="2">
        <v>-0.44444444444444442</v>
      </c>
      <c r="W69" s="2">
        <v>-13.777777777777771</v>
      </c>
      <c r="X69" s="2">
        <v>-10.888888888888886</v>
      </c>
      <c r="Y69" s="2">
        <v>-2.981481481481481</v>
      </c>
      <c r="Z69" s="2">
        <v>-6.4629629629629619</v>
      </c>
      <c r="AA69" s="2">
        <v>-2.8518518518518476</v>
      </c>
      <c r="AB69" s="2">
        <v>-1.2407407407407405</v>
      </c>
      <c r="AC69" s="2">
        <v>-5.0925925925925881</v>
      </c>
    </row>
    <row r="70" spans="3:39">
      <c r="M70" s="2">
        <v>0.44444444444444442</v>
      </c>
      <c r="N70" s="2">
        <v>168.77777777777777</v>
      </c>
      <c r="O70" s="2">
        <v>63.888888888888886</v>
      </c>
      <c r="P70" s="2">
        <v>38.981481481481481</v>
      </c>
      <c r="Q70" s="2">
        <v>73.462962962962962</v>
      </c>
      <c r="R70" s="2">
        <v>45.851851851851848</v>
      </c>
      <c r="S70" s="2">
        <v>57.24074074074074</v>
      </c>
      <c r="T70" s="2">
        <v>43.092592592592588</v>
      </c>
      <c r="V70" s="2">
        <v>0.55555555555555558</v>
      </c>
      <c r="W70" s="2">
        <v>20.222222222222229</v>
      </c>
      <c r="X70" s="2">
        <v>23.111111111111114</v>
      </c>
      <c r="Y70" s="2">
        <v>6.018518518518519</v>
      </c>
      <c r="Z70" s="2">
        <v>8.5370370370370381</v>
      </c>
      <c r="AA70" s="2">
        <v>7.1481481481481524</v>
      </c>
      <c r="AB70" s="2">
        <v>3.7592592592592595</v>
      </c>
      <c r="AC70" s="2">
        <v>8.9074074074074119</v>
      </c>
    </row>
    <row r="71" spans="3:39">
      <c r="M71" s="2">
        <v>0.44444444444444442</v>
      </c>
      <c r="N71" s="2">
        <v>168.77777777777777</v>
      </c>
      <c r="O71" s="2">
        <v>63.888888888888886</v>
      </c>
      <c r="P71" s="2">
        <v>38.981481481481481</v>
      </c>
      <c r="Q71" s="2">
        <v>73.462962962962962</v>
      </c>
      <c r="R71" s="2">
        <v>45.851851851851848</v>
      </c>
      <c r="S71" s="2">
        <v>57.24074074074074</v>
      </c>
      <c r="T71" s="2">
        <v>43.092592592592588</v>
      </c>
      <c r="V71" s="2">
        <v>-0.44444444444444442</v>
      </c>
      <c r="W71" s="2">
        <v>1.2222222222222285</v>
      </c>
      <c r="X71" s="2">
        <v>6.1111111111111143</v>
      </c>
      <c r="Y71" s="2">
        <v>-0.98148148148148096</v>
      </c>
      <c r="Z71" s="2">
        <v>-0.46296296296296191</v>
      </c>
      <c r="AA71" s="2">
        <v>-0.85185185185184764</v>
      </c>
      <c r="AB71" s="2">
        <v>-1.2407407407407405</v>
      </c>
      <c r="AC71" s="2">
        <v>-9.2592592592588119E-2</v>
      </c>
      <c r="AF71" s="2">
        <f>+(AF58)^(1/2)</f>
        <v>0.50636968354183332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</row>
    <row r="72" spans="3:39">
      <c r="M72" s="2">
        <v>0.44444444444444442</v>
      </c>
      <c r="N72" s="2">
        <v>168.77777777777777</v>
      </c>
      <c r="O72" s="2">
        <v>63.888888888888886</v>
      </c>
      <c r="P72" s="2">
        <v>38.981481481481481</v>
      </c>
      <c r="Q72" s="2">
        <v>73.462962962962962</v>
      </c>
      <c r="R72" s="2">
        <v>45.851851851851848</v>
      </c>
      <c r="S72" s="2">
        <v>57.24074074074074</v>
      </c>
      <c r="T72" s="2">
        <v>43.092592592592588</v>
      </c>
      <c r="V72" s="2">
        <v>0.55555555555555558</v>
      </c>
      <c r="W72" s="2">
        <v>1.2222222222222285</v>
      </c>
      <c r="X72" s="2">
        <v>3.1111111111111143</v>
      </c>
      <c r="Y72" s="2">
        <v>1.018518518518519</v>
      </c>
      <c r="Z72" s="2">
        <v>3.5370370370370381</v>
      </c>
      <c r="AA72" s="2">
        <v>0.64814814814815236</v>
      </c>
      <c r="AB72" s="2">
        <v>0.75925925925925952</v>
      </c>
      <c r="AC72" s="2">
        <v>1.4074074074074119</v>
      </c>
      <c r="AF72" s="2">
        <v>0</v>
      </c>
      <c r="AG72" s="2">
        <f>+(AG59)^(1/2)</f>
        <v>10.195524407734894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</row>
    <row r="73" spans="3:39">
      <c r="M73" s="2">
        <v>0.44444444444444442</v>
      </c>
      <c r="N73" s="2">
        <v>168.77777777777777</v>
      </c>
      <c r="O73" s="2">
        <v>63.888888888888886</v>
      </c>
      <c r="P73" s="2">
        <v>38.981481481481481</v>
      </c>
      <c r="Q73" s="2">
        <v>73.462962962962962</v>
      </c>
      <c r="R73" s="2">
        <v>45.851851851851848</v>
      </c>
      <c r="S73" s="2">
        <v>57.24074074074074</v>
      </c>
      <c r="T73" s="2">
        <v>43.092592592592588</v>
      </c>
      <c r="V73" s="2">
        <v>-0.44444444444444442</v>
      </c>
      <c r="W73" s="2">
        <v>-0.77777777777777146</v>
      </c>
      <c r="X73" s="2">
        <v>-7.8888888888888857</v>
      </c>
      <c r="Y73" s="2">
        <v>-1.481481481481481</v>
      </c>
      <c r="Z73" s="2">
        <v>-2.9629629629629619</v>
      </c>
      <c r="AA73" s="2">
        <v>2.1481481481481524</v>
      </c>
      <c r="AB73" s="2">
        <v>2.7592592592592595</v>
      </c>
      <c r="AC73" s="2">
        <v>-3.0925925925925881</v>
      </c>
      <c r="AF73" s="2">
        <v>0</v>
      </c>
      <c r="AG73" s="2">
        <v>0</v>
      </c>
      <c r="AH73" s="2">
        <f>+(AH60)^(1/2)</f>
        <v>12.801241926930171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</row>
    <row r="74" spans="3:39">
      <c r="AF74" s="2">
        <v>0</v>
      </c>
      <c r="AG74" s="2">
        <v>0</v>
      </c>
      <c r="AH74" s="2">
        <v>0</v>
      </c>
      <c r="AI74" s="2">
        <f>+(AI61)^(1/2)</f>
        <v>2.8638378011973642</v>
      </c>
      <c r="AJ74" s="2">
        <v>0</v>
      </c>
      <c r="AK74" s="2">
        <v>0</v>
      </c>
      <c r="AL74" s="2">
        <v>0</v>
      </c>
      <c r="AM74" s="2">
        <v>0</v>
      </c>
    </row>
    <row r="75" spans="3:39">
      <c r="L75" s="7">
        <f>1/26</f>
        <v>3.8461538461538464E-2</v>
      </c>
      <c r="AF75" s="2">
        <v>0</v>
      </c>
      <c r="AG75" s="2">
        <v>0</v>
      </c>
      <c r="AH75" s="2">
        <v>0</v>
      </c>
      <c r="AI75" s="2">
        <v>0</v>
      </c>
      <c r="AJ75" s="2">
        <f>+(AJ62)^(1/2)</f>
        <v>4.9573681097431699</v>
      </c>
      <c r="AK75" s="2">
        <v>0</v>
      </c>
      <c r="AL75" s="2">
        <v>0</v>
      </c>
      <c r="AM75" s="2">
        <v>0</v>
      </c>
    </row>
    <row r="76" spans="3:39"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f>+(AK63)^(1/2)</f>
        <v>4.0211336299003628</v>
      </c>
      <c r="AL76" s="2">
        <v>0</v>
      </c>
      <c r="AM76" s="2">
        <v>0</v>
      </c>
    </row>
    <row r="77" spans="3:39"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f>+(AL64)^(1/2)</f>
        <v>1.841667150094688</v>
      </c>
      <c r="AM77" s="2">
        <v>0</v>
      </c>
    </row>
    <row r="78" spans="3:39">
      <c r="C78" s="6"/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f>+(AM65)^(1/2)</f>
        <v>3.1563033302030257</v>
      </c>
    </row>
    <row r="83" spans="23:40">
      <c r="W83" s="2">
        <f>1/SQRT(AF58)</f>
        <v>1.9748417658131499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</row>
    <row r="84" spans="23:40">
      <c r="W84" s="2">
        <v>0</v>
      </c>
      <c r="X84" s="2">
        <f>1/SQRT(AG59)</f>
        <v>9.8082252565777212E-2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</row>
    <row r="85" spans="23:40">
      <c r="W85" s="2">
        <v>0</v>
      </c>
      <c r="X85" s="2">
        <v>0</v>
      </c>
      <c r="Y85" s="2">
        <f>1/SQRT(AH60)</f>
        <v>7.8117420614970526E-2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</row>
    <row r="86" spans="23:40">
      <c r="W86" s="2">
        <v>0</v>
      </c>
      <c r="X86" s="2">
        <v>0</v>
      </c>
      <c r="Y86" s="2">
        <v>0</v>
      </c>
      <c r="Z86" s="2">
        <f>1/SQRT(AI61)</f>
        <v>0.349181786615814</v>
      </c>
      <c r="AA86" s="2">
        <v>0</v>
      </c>
      <c r="AB86" s="2">
        <v>0</v>
      </c>
      <c r="AC86" s="2">
        <v>0</v>
      </c>
      <c r="AD86" s="2">
        <v>0</v>
      </c>
    </row>
    <row r="87" spans="23:40">
      <c r="W87" s="2">
        <v>0</v>
      </c>
      <c r="X87" s="2">
        <v>0</v>
      </c>
      <c r="Y87" s="2">
        <v>0</v>
      </c>
      <c r="Z87" s="2">
        <v>0</v>
      </c>
      <c r="AA87" s="2">
        <f>1/SQRT(AJ62)</f>
        <v>0.20171994047297159</v>
      </c>
      <c r="AB87" s="2">
        <v>0</v>
      </c>
      <c r="AC87" s="2">
        <v>0</v>
      </c>
      <c r="AD87" s="2">
        <v>0</v>
      </c>
    </row>
    <row r="88" spans="23:40"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f>1/SQRT(AK63)</f>
        <v>0.24868609005286363</v>
      </c>
      <c r="AC88" s="2">
        <v>0</v>
      </c>
      <c r="AD88" s="2">
        <v>0</v>
      </c>
    </row>
    <row r="89" spans="23:40"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f>1/SQRT(AL64)</f>
        <v>0.54298628280826189</v>
      </c>
      <c r="AD89" s="2">
        <v>0</v>
      </c>
    </row>
    <row r="90" spans="23:40"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f>1/SQRT(AM65)</f>
        <v>0.31682632984950659</v>
      </c>
    </row>
    <row r="95" spans="23:40">
      <c r="W95" s="2" cm="1">
        <f t="array" ref="W95:AD102">MMULT(W83:AD90,_xlfn.ANCHORARRAY(AF58))</f>
        <v>0.50636968354183332</v>
      </c>
      <c r="X95" s="2">
        <v>8.0259594841380579</v>
      </c>
      <c r="Y95" s="2">
        <v>9.4437945980551916</v>
      </c>
      <c r="Z95" s="2">
        <v>2.447453470452194</v>
      </c>
      <c r="AA95" s="2">
        <v>3.9074860579978141</v>
      </c>
      <c r="AB95" s="2">
        <v>2.8694282067370556</v>
      </c>
      <c r="AC95" s="2">
        <v>0.69203856750717219</v>
      </c>
      <c r="AD95" s="2">
        <v>2.3082018074781905</v>
      </c>
      <c r="AG95" s="9" cm="1">
        <f t="array" ref="AG95:AN102">MMULT(_xlfn.ANCHORARRAY(W95),W83:AD90)</f>
        <v>1</v>
      </c>
      <c r="AH95" s="2">
        <v>0.78720418520592395</v>
      </c>
      <c r="AI95" s="2">
        <v>0.73772487481766391</v>
      </c>
      <c r="AJ95" s="2">
        <v>0.85460617547157147</v>
      </c>
      <c r="AK95" s="2">
        <v>0.78821785501828545</v>
      </c>
      <c r="AL95" s="2">
        <v>0.71358688142083837</v>
      </c>
      <c r="AM95" s="2">
        <v>0.37576744933067385</v>
      </c>
      <c r="AN95" s="2">
        <v>0.73129910721531244</v>
      </c>
    </row>
    <row r="96" spans="23:40">
      <c r="W96" s="2">
        <v>0.39861633414553044</v>
      </c>
      <c r="X96" s="2">
        <v>10.195524407734892</v>
      </c>
      <c r="Y96" s="2">
        <v>10.628092290845499</v>
      </c>
      <c r="Z96" s="2">
        <v>2.657232650174123</v>
      </c>
      <c r="AA96" s="2">
        <v>4.4977419280216786</v>
      </c>
      <c r="AB96" s="2">
        <v>3.3767120797859023</v>
      </c>
      <c r="AC96" s="2">
        <v>1.0824675950902549</v>
      </c>
      <c r="AD96" s="2">
        <v>2.6635199740565438</v>
      </c>
      <c r="AG96" s="2">
        <v>0.78720418520592395</v>
      </c>
      <c r="AH96" s="9">
        <v>0.99999999999999978</v>
      </c>
      <c r="AI96" s="2">
        <v>0.83023915581870356</v>
      </c>
      <c r="AJ96" s="2">
        <v>0.92785724424167459</v>
      </c>
      <c r="AK96" s="2">
        <v>0.90728423398332148</v>
      </c>
      <c r="AL96" s="2">
        <v>0.83974132435622928</v>
      </c>
      <c r="AM96" s="2">
        <v>0.58776505571845628</v>
      </c>
      <c r="AN96" s="2">
        <v>0.84387325786118783</v>
      </c>
    </row>
    <row r="97" spans="23:40">
      <c r="W97" s="2">
        <v>0.37356151140235905</v>
      </c>
      <c r="X97" s="2">
        <v>8.4647235774068061</v>
      </c>
      <c r="Y97" s="2">
        <v>12.801241926930169</v>
      </c>
      <c r="Z97" s="2">
        <v>2.4334911862086654</v>
      </c>
      <c r="AA97" s="2">
        <v>4.0662788111138823</v>
      </c>
      <c r="AB97" s="2">
        <v>3.3757408429853926</v>
      </c>
      <c r="AC97" s="2">
        <v>1.1408815596224862</v>
      </c>
      <c r="AD97" s="2">
        <v>2.267742043749978</v>
      </c>
      <c r="AG97" s="2">
        <v>0.7377248748176638</v>
      </c>
      <c r="AH97" s="2">
        <v>0.83023915581870356</v>
      </c>
      <c r="AI97" s="9">
        <v>0.99999999999999978</v>
      </c>
      <c r="AJ97" s="2">
        <v>0.84973080011417834</v>
      </c>
      <c r="AK97" s="2">
        <v>0.82024951972439808</v>
      </c>
      <c r="AL97" s="2">
        <v>0.83949979127379515</v>
      </c>
      <c r="AM97" s="2">
        <v>0.61948303718390618</v>
      </c>
      <c r="AN97" s="2">
        <v>0.71848038876672471</v>
      </c>
    </row>
    <row r="98" spans="23:40">
      <c r="W98" s="2">
        <v>0.43274665862643608</v>
      </c>
      <c r="X98" s="2">
        <v>9.45999118055963</v>
      </c>
      <c r="Y98" s="2">
        <v>10.877609545025541</v>
      </c>
      <c r="Z98" s="2">
        <v>2.8638378011973646</v>
      </c>
      <c r="AA98" s="2">
        <v>4.2235079062035279</v>
      </c>
      <c r="AB98" s="2">
        <v>3.208791603217402</v>
      </c>
      <c r="AC98" s="2">
        <v>1.0088717360449071</v>
      </c>
      <c r="AD98" s="2">
        <v>2.6866355056391247</v>
      </c>
      <c r="AG98" s="2">
        <v>0.85460617547157136</v>
      </c>
      <c r="AH98" s="2">
        <v>0.92785724424167459</v>
      </c>
      <c r="AI98" s="2">
        <v>0.84973080011417834</v>
      </c>
      <c r="AJ98" s="9">
        <v>1.0000000000000002</v>
      </c>
      <c r="AK98" s="2">
        <v>0.85196576342650054</v>
      </c>
      <c r="AL98" s="2">
        <v>0.79798183759859553</v>
      </c>
      <c r="AM98" s="2">
        <v>0.54780351378534209</v>
      </c>
      <c r="AN98" s="2">
        <v>0.85119686689501728</v>
      </c>
    </row>
    <row r="99" spans="23:40">
      <c r="W99" s="2">
        <v>0.39912962580763189</v>
      </c>
      <c r="X99" s="2">
        <v>9.2502385523300106</v>
      </c>
      <c r="Y99" s="2">
        <v>10.500212542440302</v>
      </c>
      <c r="Z99" s="2">
        <v>2.4398917586267834</v>
      </c>
      <c r="AA99" s="2">
        <v>4.9573681097431699</v>
      </c>
      <c r="AB99" s="2">
        <v>3.2224904165728501</v>
      </c>
      <c r="AC99" s="2">
        <v>0.8746944427346518</v>
      </c>
      <c r="AD99" s="2">
        <v>2.4155388170953236</v>
      </c>
      <c r="AG99" s="2">
        <v>0.78821785501828556</v>
      </c>
      <c r="AH99" s="2">
        <v>0.90728423398332148</v>
      </c>
      <c r="AI99" s="2">
        <v>0.82024951972439808</v>
      </c>
      <c r="AJ99" s="2">
        <v>0.85196576342650066</v>
      </c>
      <c r="AK99" s="9">
        <v>0.99999999999999989</v>
      </c>
      <c r="AL99" s="2">
        <v>0.80138854193032583</v>
      </c>
      <c r="AM99" s="2">
        <v>0.4749470840535327</v>
      </c>
      <c r="AN99" s="2">
        <v>0.76530629802932992</v>
      </c>
    </row>
    <row r="100" spans="23:40">
      <c r="W100" s="2">
        <v>0.36133876332467368</v>
      </c>
      <c r="X100" s="2">
        <v>8.5616031686575607</v>
      </c>
      <c r="Y100" s="2">
        <v>10.746639925703233</v>
      </c>
      <c r="Z100" s="2">
        <v>2.285290551183794</v>
      </c>
      <c r="AA100" s="2">
        <v>3.9727780012789746</v>
      </c>
      <c r="AB100" s="2">
        <v>4.0211336299003628</v>
      </c>
      <c r="AC100" s="2">
        <v>1.1546013376136695</v>
      </c>
      <c r="AD100" s="2">
        <v>1.9906400449138946</v>
      </c>
      <c r="AG100" s="2">
        <v>0.71358688142083837</v>
      </c>
      <c r="AH100" s="2">
        <v>0.83974132435622928</v>
      </c>
      <c r="AI100" s="2">
        <v>0.83949979127379504</v>
      </c>
      <c r="AJ100" s="2">
        <v>0.79798183759859553</v>
      </c>
      <c r="AK100" s="2">
        <v>0.80138854193032583</v>
      </c>
      <c r="AL100" s="9">
        <v>1</v>
      </c>
      <c r="AM100" s="2">
        <v>0.62693268843629335</v>
      </c>
      <c r="AN100" s="2">
        <v>0.63068717948152619</v>
      </c>
    </row>
    <row r="101" spans="23:40">
      <c r="W101" s="2">
        <v>0.1902772444028952</v>
      </c>
      <c r="X101" s="2">
        <v>5.9925729715911817</v>
      </c>
      <c r="Y101" s="2">
        <v>7.9301522286206625</v>
      </c>
      <c r="Z101" s="2">
        <v>1.5688204104072041</v>
      </c>
      <c r="AA101" s="2">
        <v>2.3544875283024918</v>
      </c>
      <c r="AB101" s="2">
        <v>2.5209801171550255</v>
      </c>
      <c r="AC101" s="2">
        <v>1.8416671500946877</v>
      </c>
      <c r="AD101" s="2">
        <v>1.7521362922099926</v>
      </c>
      <c r="AG101" s="2">
        <v>0.37576744933067385</v>
      </c>
      <c r="AH101" s="2">
        <v>0.58776505571845639</v>
      </c>
      <c r="AI101" s="2">
        <v>0.61948303718390618</v>
      </c>
      <c r="AJ101" s="2">
        <v>0.54780351378534209</v>
      </c>
      <c r="AK101" s="2">
        <v>0.47494708405353264</v>
      </c>
      <c r="AL101" s="2">
        <v>0.62693268843629335</v>
      </c>
      <c r="AM101" s="9">
        <v>0.99999999999999978</v>
      </c>
      <c r="AN101" s="2">
        <v>0.5551229108570146</v>
      </c>
    </row>
    <row r="102" spans="23:40">
      <c r="W102" s="2">
        <v>0.37030769749504305</v>
      </c>
      <c r="X102" s="2">
        <v>8.6037303975585022</v>
      </c>
      <c r="Y102" s="2">
        <v>9.1974412763576865</v>
      </c>
      <c r="Z102" s="2">
        <v>2.4376897636747117</v>
      </c>
      <c r="AA102" s="2">
        <v>3.793905036036203</v>
      </c>
      <c r="AB102" s="2">
        <v>2.5360774273601709</v>
      </c>
      <c r="AC102" s="2">
        <v>1.0223516291903056</v>
      </c>
      <c r="AD102" s="2">
        <v>3.1563033302030257</v>
      </c>
      <c r="AG102" s="2">
        <v>0.73129910721531255</v>
      </c>
      <c r="AH102" s="2">
        <v>0.84387325786118783</v>
      </c>
      <c r="AI102" s="2">
        <v>0.71848038876672471</v>
      </c>
      <c r="AJ102" s="2">
        <v>0.85119686689501728</v>
      </c>
      <c r="AK102" s="2">
        <v>0.76530629802933003</v>
      </c>
      <c r="AL102" s="2">
        <v>0.63068717948152619</v>
      </c>
      <c r="AM102" s="2">
        <v>0.5551229108570146</v>
      </c>
      <c r="AN102" s="9">
        <v>0.99999999999999989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</dc:creator>
  <cp:lastModifiedBy>DAVID JACOB MENA DIAZ</cp:lastModifiedBy>
  <dcterms:created xsi:type="dcterms:W3CDTF">2026-08-13T01:11:00Z</dcterms:created>
  <dcterms:modified xsi:type="dcterms:W3CDTF">2026-08-13T17:19:07Z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83ABA91F7AB8459DAA175614FB85F52D_11</vt:lpwstr>
  </property>
  <property fmtid="{D5CDD505-2E9C-101B-9397-08002B2CF9AE}" pid="3" name="KSOProductBuildVer">
    <vt:lpwstr>3082-12.2.0.23206</vt:lpwstr>
  </property>
</Properties>
</file>