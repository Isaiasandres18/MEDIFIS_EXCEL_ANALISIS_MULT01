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 VICTUS\Documents\Universidad segundo semestre 2026\Analisis multivariado\"/>
    </mc:Choice>
  </mc:AlternateContent>
  <xr:revisionPtr revIDLastSave="0" documentId="8_{2A1DA5EC-8ACE-403B-A2A1-67AFF1BB11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EDIFI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4" i="1" l="1"/>
  <c r="C65" i="1"/>
  <c r="C66" i="1"/>
  <c r="C67" i="1"/>
  <c r="C68" i="1"/>
  <c r="G49" i="1"/>
  <c r="B36" i="1" a="1"/>
  <c r="B36" i="1" s="1"/>
  <c r="C48" i="1" s="1" a="1"/>
  <c r="C48" i="1" l="1"/>
  <c r="C61" i="1" s="1"/>
  <c r="C63" i="1"/>
  <c r="C62" i="1"/>
  <c r="D71" i="1" l="1" a="1"/>
  <c r="D71" i="1" s="1"/>
  <c r="B76" i="1" s="1" a="1"/>
  <c r="B76" i="1" l="1"/>
  <c r="B107" i="1" s="1"/>
  <c r="B137" i="1" s="1" a="1"/>
  <c r="D132" i="1"/>
  <c r="H133" i="1"/>
  <c r="D130" i="1"/>
  <c r="H131" i="1"/>
  <c r="D109" i="1"/>
  <c r="H110" i="1"/>
  <c r="D112" i="1"/>
  <c r="F132" i="1"/>
  <c r="B129" i="1"/>
  <c r="F130" i="1"/>
  <c r="B108" i="1"/>
  <c r="F109" i="1"/>
  <c r="B111" i="1"/>
  <c r="F112" i="1"/>
  <c r="B114" i="1"/>
  <c r="F115" i="1"/>
  <c r="B117" i="1"/>
  <c r="F118" i="1"/>
  <c r="B120" i="1"/>
  <c r="F121" i="1"/>
  <c r="B123" i="1"/>
  <c r="F124" i="1"/>
  <c r="B126" i="1"/>
  <c r="F127" i="1"/>
  <c r="C107" i="1"/>
  <c r="G132" i="1"/>
  <c r="C129" i="1"/>
  <c r="G130" i="1"/>
  <c r="C108" i="1"/>
  <c r="G109" i="1"/>
  <c r="C111" i="1"/>
  <c r="G112" i="1"/>
  <c r="C114" i="1"/>
  <c r="G115" i="1"/>
  <c r="C117" i="1"/>
  <c r="G118" i="1"/>
  <c r="C120" i="1"/>
  <c r="G121" i="1"/>
  <c r="C123" i="1"/>
  <c r="G124" i="1"/>
  <c r="C126" i="1"/>
  <c r="G127" i="1"/>
  <c r="D107" i="1"/>
  <c r="E132" i="1"/>
  <c r="F129" i="1"/>
  <c r="I132" i="1"/>
  <c r="H129" i="1"/>
  <c r="G131" i="1"/>
  <c r="I109" i="1"/>
  <c r="H111" i="1"/>
  <c r="G113" i="1"/>
  <c r="E115" i="1"/>
  <c r="E117" i="1"/>
  <c r="C119" i="1"/>
  <c r="I120" i="1"/>
  <c r="G122" i="1"/>
  <c r="E124" i="1"/>
  <c r="E126" i="1"/>
  <c r="C128" i="1"/>
  <c r="B133" i="1"/>
  <c r="I129" i="1"/>
  <c r="I131" i="1"/>
  <c r="B110" i="1"/>
  <c r="I111" i="1"/>
  <c r="H113" i="1"/>
  <c r="H115" i="1"/>
  <c r="F117" i="1"/>
  <c r="D119" i="1"/>
  <c r="B121" i="1"/>
  <c r="H122" i="1"/>
  <c r="H124" i="1"/>
  <c r="F126" i="1"/>
  <c r="D128" i="1"/>
  <c r="C133" i="1"/>
  <c r="B130" i="1"/>
  <c r="D108" i="1"/>
  <c r="C110" i="1"/>
  <c r="B112" i="1"/>
  <c r="I113" i="1"/>
  <c r="I115" i="1"/>
  <c r="G117" i="1"/>
  <c r="E119" i="1"/>
  <c r="C121" i="1"/>
  <c r="I122" i="1"/>
  <c r="I124" i="1"/>
  <c r="G126" i="1"/>
  <c r="E128" i="1"/>
  <c r="D133" i="1"/>
  <c r="C130" i="1"/>
  <c r="E108" i="1"/>
  <c r="D110" i="1"/>
  <c r="C112" i="1"/>
  <c r="D114" i="1"/>
  <c r="B116" i="1"/>
  <c r="H117" i="1"/>
  <c r="F119" i="1"/>
  <c r="D121" i="1"/>
  <c r="D123" i="1"/>
  <c r="B125" i="1"/>
  <c r="H126" i="1"/>
  <c r="F128" i="1"/>
  <c r="E133" i="1"/>
  <c r="E130" i="1"/>
  <c r="F108" i="1"/>
  <c r="E110" i="1"/>
  <c r="E112" i="1"/>
  <c r="E114" i="1"/>
  <c r="C116" i="1"/>
  <c r="I117" i="1"/>
  <c r="G119" i="1"/>
  <c r="E121" i="1"/>
  <c r="E123" i="1"/>
  <c r="C125" i="1"/>
  <c r="I126" i="1"/>
  <c r="G128" i="1"/>
  <c r="I130" i="1"/>
  <c r="H109" i="1"/>
  <c r="D113" i="1"/>
  <c r="F116" i="1"/>
  <c r="H119" i="1"/>
  <c r="E122" i="1"/>
  <c r="G125" i="1"/>
  <c r="I128" i="1"/>
  <c r="B131" i="1"/>
  <c r="F110" i="1"/>
  <c r="E113" i="1"/>
  <c r="G116" i="1"/>
  <c r="I119" i="1"/>
  <c r="F122" i="1"/>
  <c r="H125" i="1"/>
  <c r="E107" i="1"/>
  <c r="B132" i="1"/>
  <c r="C131" i="1"/>
  <c r="G110" i="1"/>
  <c r="F113" i="1"/>
  <c r="H116" i="1"/>
  <c r="D120" i="1"/>
  <c r="F123" i="1"/>
  <c r="I125" i="1"/>
  <c r="F107" i="1"/>
  <c r="I114" i="1"/>
  <c r="H121" i="1"/>
  <c r="D129" i="1"/>
  <c r="I108" i="1"/>
  <c r="H112" i="1"/>
  <c r="C115" i="1"/>
  <c r="E118" i="1"/>
  <c r="I121" i="1"/>
  <c r="H127" i="1"/>
  <c r="B109" i="1"/>
  <c r="C132" i="1"/>
  <c r="D131" i="1"/>
  <c r="I110" i="1"/>
  <c r="F114" i="1"/>
  <c r="I116" i="1"/>
  <c r="E120" i="1"/>
  <c r="G123" i="1"/>
  <c r="D126" i="1"/>
  <c r="G107" i="1"/>
  <c r="H132" i="1"/>
  <c r="E131" i="1"/>
  <c r="D111" i="1"/>
  <c r="G114" i="1"/>
  <c r="D117" i="1"/>
  <c r="F120" i="1"/>
  <c r="H123" i="1"/>
  <c r="B127" i="1"/>
  <c r="H107" i="1"/>
  <c r="F133" i="1"/>
  <c r="F131" i="1"/>
  <c r="E111" i="1"/>
  <c r="H114" i="1"/>
  <c r="B118" i="1"/>
  <c r="G120" i="1"/>
  <c r="I123" i="1"/>
  <c r="C127" i="1"/>
  <c r="I107" i="1"/>
  <c r="G133" i="1"/>
  <c r="G108" i="1"/>
  <c r="F111" i="1"/>
  <c r="C118" i="1"/>
  <c r="H120" i="1"/>
  <c r="B124" i="1"/>
  <c r="D127" i="1"/>
  <c r="I133" i="1"/>
  <c r="H108" i="1"/>
  <c r="G111" i="1"/>
  <c r="B115" i="1"/>
  <c r="D118" i="1"/>
  <c r="C124" i="1"/>
  <c r="E127" i="1"/>
  <c r="D124" i="1"/>
  <c r="E129" i="1"/>
  <c r="C113" i="1"/>
  <c r="F125" i="1"/>
  <c r="D115" i="1"/>
  <c r="I127" i="1"/>
  <c r="D116" i="1"/>
  <c r="B128" i="1"/>
  <c r="E116" i="1"/>
  <c r="H128" i="1"/>
  <c r="H118" i="1"/>
  <c r="G129" i="1"/>
  <c r="B119" i="1"/>
  <c r="H130" i="1"/>
  <c r="B122" i="1"/>
  <c r="C122" i="1"/>
  <c r="E109" i="1"/>
  <c r="D122" i="1"/>
  <c r="D125" i="1"/>
  <c r="B113" i="1"/>
  <c r="E125" i="1"/>
  <c r="I118" i="1"/>
  <c r="C109" i="1"/>
  <c r="I112" i="1"/>
  <c r="F137" i="1" l="1"/>
  <c r="K137" i="1"/>
  <c r="X137" i="1"/>
  <c r="J138" i="1"/>
  <c r="W138" i="1"/>
  <c r="I139" i="1"/>
  <c r="V139" i="1"/>
  <c r="H140" i="1"/>
  <c r="V140" i="1"/>
  <c r="H141" i="1"/>
  <c r="U141" i="1"/>
  <c r="G142" i="1"/>
  <c r="T142" i="1"/>
  <c r="F143" i="1"/>
  <c r="S143" i="1"/>
  <c r="E144" i="1"/>
  <c r="R144" i="1"/>
  <c r="M137" i="1"/>
  <c r="Z137" i="1"/>
  <c r="L138" i="1"/>
  <c r="Y138" i="1"/>
  <c r="K139" i="1"/>
  <c r="Y139" i="1"/>
  <c r="K140" i="1"/>
  <c r="X140" i="1"/>
  <c r="J141" i="1"/>
  <c r="W141" i="1"/>
  <c r="I142" i="1"/>
  <c r="V142" i="1"/>
  <c r="H143" i="1"/>
  <c r="U143" i="1"/>
  <c r="G144" i="1"/>
  <c r="T144" i="1"/>
  <c r="N137" i="1"/>
  <c r="AA137" i="1"/>
  <c r="M138" i="1"/>
  <c r="Z138" i="1"/>
  <c r="M139" i="1"/>
  <c r="Z139" i="1"/>
  <c r="L140" i="1"/>
  <c r="Y140" i="1"/>
  <c r="K141" i="1"/>
  <c r="X141" i="1"/>
  <c r="J142" i="1"/>
  <c r="W142" i="1"/>
  <c r="I143" i="1"/>
  <c r="V143" i="1"/>
  <c r="H144" i="1"/>
  <c r="V144" i="1"/>
  <c r="L137" i="1"/>
  <c r="D138" i="1"/>
  <c r="T138" i="1"/>
  <c r="J139" i="1"/>
  <c r="B140" i="1"/>
  <c r="R140" i="1"/>
  <c r="I141" i="1"/>
  <c r="AA141" i="1"/>
  <c r="Q142" i="1"/>
  <c r="G143" i="1"/>
  <c r="Z143" i="1"/>
  <c r="O144" i="1"/>
  <c r="P137" i="1"/>
  <c r="F138" i="1"/>
  <c r="V138" i="1"/>
  <c r="O139" i="1"/>
  <c r="D140" i="1"/>
  <c r="T140" i="1"/>
  <c r="M141" i="1"/>
  <c r="B142" i="1"/>
  <c r="S142" i="1"/>
  <c r="K143" i="1"/>
  <c r="AB143" i="1"/>
  <c r="Q144" i="1"/>
  <c r="Q137" i="1"/>
  <c r="G138" i="1"/>
  <c r="X138" i="1"/>
  <c r="P139" i="1"/>
  <c r="E140" i="1"/>
  <c r="W140" i="1"/>
  <c r="N141" i="1"/>
  <c r="D142" i="1"/>
  <c r="U142" i="1"/>
  <c r="M143" i="1"/>
  <c r="B144" i="1"/>
  <c r="S144" i="1"/>
  <c r="B137" i="1"/>
  <c r="S137" i="1"/>
  <c r="H138" i="1"/>
  <c r="AB138" i="1"/>
  <c r="Q139" i="1"/>
  <c r="F140" i="1"/>
  <c r="Z140" i="1"/>
  <c r="O141" i="1"/>
  <c r="E142" i="1"/>
  <c r="X142" i="1"/>
  <c r="N143" i="1"/>
  <c r="C144" i="1"/>
  <c r="W144" i="1"/>
  <c r="C137" i="1"/>
  <c r="T137" i="1"/>
  <c r="I138" i="1"/>
  <c r="B139" i="1"/>
  <c r="R139" i="1"/>
  <c r="G140" i="1"/>
  <c r="AA140" i="1"/>
  <c r="P141" i="1"/>
  <c r="F142" i="1"/>
  <c r="Y142" i="1"/>
  <c r="O143" i="1"/>
  <c r="D144" i="1"/>
  <c r="X144" i="1"/>
  <c r="D137" i="1"/>
  <c r="U137" i="1"/>
  <c r="K138" i="1"/>
  <c r="C139" i="1"/>
  <c r="S139" i="1"/>
  <c r="J140" i="1"/>
  <c r="AB140" i="1"/>
  <c r="Q141" i="1"/>
  <c r="H142" i="1"/>
  <c r="Z142" i="1"/>
  <c r="P143" i="1"/>
  <c r="F144" i="1"/>
  <c r="Y144" i="1"/>
  <c r="E137" i="1"/>
  <c r="V137" i="1"/>
  <c r="P138" i="1"/>
  <c r="U139" i="1"/>
  <c r="C141" i="1"/>
  <c r="L142" i="1"/>
  <c r="R143" i="1"/>
  <c r="AA144" i="1"/>
  <c r="G137" i="1"/>
  <c r="Q138" i="1"/>
  <c r="W139" i="1"/>
  <c r="D141" i="1"/>
  <c r="M142" i="1"/>
  <c r="T143" i="1"/>
  <c r="AB144" i="1"/>
  <c r="H137" i="1"/>
  <c r="R138" i="1"/>
  <c r="AA139" i="1"/>
  <c r="E141" i="1"/>
  <c r="N142" i="1"/>
  <c r="W143" i="1"/>
  <c r="G139" i="1"/>
  <c r="P140" i="1"/>
  <c r="Y141" i="1"/>
  <c r="D143" i="1"/>
  <c r="M144" i="1"/>
  <c r="B138" i="1"/>
  <c r="H139" i="1"/>
  <c r="Z141" i="1"/>
  <c r="N144" i="1"/>
  <c r="I137" i="1"/>
  <c r="S138" i="1"/>
  <c r="AB139" i="1"/>
  <c r="G141" i="1"/>
  <c r="P142" i="1"/>
  <c r="Y143" i="1"/>
  <c r="J137" i="1"/>
  <c r="U138" i="1"/>
  <c r="C140" i="1"/>
  <c r="L141" i="1"/>
  <c r="R142" i="1"/>
  <c r="AA143" i="1"/>
  <c r="O137" i="1"/>
  <c r="D139" i="1"/>
  <c r="M140" i="1"/>
  <c r="S141" i="1"/>
  <c r="AB142" i="1"/>
  <c r="J144" i="1"/>
  <c r="W137" i="1"/>
  <c r="E139" i="1"/>
  <c r="N140" i="1"/>
  <c r="T141" i="1"/>
  <c r="B143" i="1"/>
  <c r="K144" i="1"/>
  <c r="Y137" i="1"/>
  <c r="F139" i="1"/>
  <c r="O140" i="1"/>
  <c r="V141" i="1"/>
  <c r="C143" i="1"/>
  <c r="L144" i="1"/>
  <c r="AB137" i="1"/>
  <c r="Q140" i="1"/>
  <c r="E143" i="1"/>
  <c r="AB141" i="1"/>
  <c r="K142" i="1"/>
  <c r="J143" i="1"/>
  <c r="Q143" i="1"/>
  <c r="Z144" i="1"/>
  <c r="E138" i="1"/>
  <c r="N138" i="1"/>
  <c r="T139" i="1"/>
  <c r="S140" i="1"/>
  <c r="P144" i="1"/>
  <c r="N139" i="1"/>
  <c r="B141" i="1"/>
  <c r="U140" i="1"/>
  <c r="I140" i="1"/>
  <c r="U144" i="1"/>
  <c r="L139" i="1"/>
  <c r="X143" i="1"/>
  <c r="X139" i="1"/>
  <c r="I144" i="1"/>
  <c r="AA138" i="1"/>
  <c r="O138" i="1"/>
  <c r="L143" i="1"/>
  <c r="C138" i="1"/>
  <c r="AA142" i="1"/>
  <c r="R137" i="1"/>
  <c r="O142" i="1"/>
  <c r="C142" i="1"/>
  <c r="R141" i="1"/>
  <c r="F141" i="1"/>
  <c r="B148" i="1" l="1" a="1"/>
  <c r="B148" i="1" l="1"/>
  <c r="B159" i="1" s="1"/>
  <c r="E160" i="1"/>
  <c r="I161" i="1"/>
  <c r="E163" i="1"/>
  <c r="I164" i="1"/>
  <c r="E166" i="1"/>
  <c r="G160" i="1"/>
  <c r="C162" i="1"/>
  <c r="G163" i="1"/>
  <c r="C165" i="1"/>
  <c r="G166" i="1"/>
  <c r="H160" i="1"/>
  <c r="D162" i="1"/>
  <c r="H163" i="1"/>
  <c r="D165" i="1"/>
  <c r="H166" i="1"/>
  <c r="F161" i="1"/>
  <c r="F163" i="1"/>
  <c r="F174" i="1" s="1"/>
  <c r="F185" i="1" s="1"/>
  <c r="G165" i="1"/>
  <c r="G159" i="1"/>
  <c r="G161" i="1"/>
  <c r="H161" i="1"/>
  <c r="B164" i="1"/>
  <c r="I165" i="1"/>
  <c r="I159" i="1"/>
  <c r="B160" i="1"/>
  <c r="B162" i="1"/>
  <c r="C164" i="1"/>
  <c r="B166" i="1"/>
  <c r="C160" i="1"/>
  <c r="C171" i="1" s="1"/>
  <c r="C182" i="1" s="1"/>
  <c r="E162" i="1"/>
  <c r="E173" i="1" s="1"/>
  <c r="E184" i="1" s="1"/>
  <c r="D164" i="1"/>
  <c r="C166" i="1"/>
  <c r="D160" i="1"/>
  <c r="F162" i="1"/>
  <c r="E164" i="1"/>
  <c r="D166" i="1"/>
  <c r="F160" i="1"/>
  <c r="G162" i="1"/>
  <c r="F164" i="1"/>
  <c r="F166" i="1"/>
  <c r="I160" i="1"/>
  <c r="H162" i="1"/>
  <c r="G164" i="1"/>
  <c r="G175" i="1" s="1"/>
  <c r="G186" i="1" s="1"/>
  <c r="I166" i="1"/>
  <c r="I177" i="1" s="1"/>
  <c r="I188" i="1" s="1"/>
  <c r="D163" i="1"/>
  <c r="I163" i="1"/>
  <c r="H164" i="1"/>
  <c r="C159" i="1"/>
  <c r="E161" i="1"/>
  <c r="D159" i="1"/>
  <c r="I162" i="1"/>
  <c r="B165" i="1"/>
  <c r="E165" i="1"/>
  <c r="B161" i="1"/>
  <c r="F165" i="1"/>
  <c r="C161" i="1"/>
  <c r="H165" i="1"/>
  <c r="H176" i="1" s="1"/>
  <c r="H187" i="1" s="1"/>
  <c r="D161" i="1"/>
  <c r="D172" i="1" s="1"/>
  <c r="D183" i="1" s="1"/>
  <c r="E159" i="1"/>
  <c r="B163" i="1"/>
  <c r="C163" i="1"/>
  <c r="F159" i="1"/>
  <c r="H159" i="1"/>
  <c r="B170" i="1" l="1"/>
  <c r="B181" i="1" s="1"/>
  <c r="B192" i="1" s="1" a="1"/>
  <c r="B192" i="1" s="1"/>
  <c r="B203" i="1" s="1" a="1"/>
  <c r="B20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<sst xmlns="http://schemas.openxmlformats.org/spreadsheetml/2006/main" count="98" uniqueCount="26">
  <si>
    <t>Tabla A.5. Datos MEDIFIS</t>
  </si>
  <si>
    <t>Obs.</t>
  </si>
  <si>
    <t>sexo</t>
  </si>
  <si>
    <t>est</t>
  </si>
  <si>
    <t>pes</t>
  </si>
  <si>
    <t>pie</t>
  </si>
  <si>
    <t>lbr</t>
  </si>
  <si>
    <t>aes</t>
  </si>
  <si>
    <t>dcr</t>
  </si>
  <si>
    <t>lrt</t>
  </si>
  <si>
    <t>Nota: sexo (0 = mujer, 1 = hombre). Variables en cm (est, pie, lbr, aes, dcr, lrt) y kg (pes).</t>
  </si>
  <si>
    <t>PASO 3 — Suma de cada variable: MMULT(Xtᵀ, vector de 1's)</t>
  </si>
  <si>
    <t>PASO 2 — Traspuesta de los datos (Xt): k=8 × n=27</t>
  </si>
  <si>
    <t>1's</t>
  </si>
  <si>
    <t>n =</t>
  </si>
  <si>
    <t>n-1 =</t>
  </si>
  <si>
    <t>PASO 5 — Repetir el vector de medias en las 27 filas: MMULT(1's, medias_fila)</t>
  </si>
  <si>
    <t>PASO 4 — Medias de cada variable: Suma × (1/n)</t>
  </si>
  <si>
    <t>PASO 6 — Matriz centrada (X - X̄): desviaciones respecto a la media</t>
  </si>
  <si>
    <t>PASO 7 — Traspuesta de la matriz centrada</t>
  </si>
  <si>
    <t>PASO 8 — Sumas de cuadrados y productos cruzados (SSCP): (X-X̄)ᵀ (X-X̄)</t>
  </si>
  <si>
    <t>PASO 9 — Matriz de varianzas-covarianzas: SSCP / (n-1)</t>
  </si>
  <si>
    <t>PASO 10 — Desviaciones estándar (raíz de la diagonal de la covarianza), en matriz diagonal</t>
  </si>
  <si>
    <t>PASO 11 — Inversa de las desviaciones estándar (matriz diagonal 1/s)</t>
  </si>
  <si>
    <t>PASO 12 — Paso intermedio: MMULT(inversa_std, covarianza)</t>
  </si>
  <si>
    <t>PASO 13 — RESULTADO FINAL: Matriz de correlación = MMULT(paso_intermedio, inversa_std)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</si>
</sst>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4472C4"/>
        <bgColor rgb="FF666666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0"/>
  <sheetViews>
    <sheetView tabSelected="1" topLeftCell="A186" zoomScale="80" zoomScaleNormal="100" workbookViewId="0">
      <selection activeCell="B203" sqref="B203"/>
    </sheetView>
  </sheetViews>
  <sheetFormatPr baseColWidth="10" defaultColWidth="8.6640625" defaultRowHeight="14.4" x14ac:dyDescent="0.3"/>
  <cols>
    <col min="1" max="1" width="8.88671875" customWidth="1"/>
    <col min="2" max="2" width="9.33203125" customWidth="1"/>
    <col min="3" max="3" width="12.109375" customWidth="1"/>
    <col min="4" max="4" width="9" customWidth="1"/>
    <col min="5" max="5" width="9.33203125" customWidth="1"/>
    <col min="6" max="6" width="10.5546875" customWidth="1"/>
    <col min="7" max="7" width="10.44140625" customWidth="1"/>
    <col min="8" max="9" width="10" customWidth="1"/>
    <col min="10" max="10" width="11" bestFit="1" customWidth="1"/>
    <col min="11" max="11" width="13" bestFit="1" customWidth="1"/>
    <col min="12" max="26" width="11" bestFit="1" customWidth="1"/>
  </cols>
  <sheetData>
    <row r="1" spans="1:11" ht="16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K2" s="6" t="s">
        <v>13</v>
      </c>
    </row>
    <row r="3" spans="1:11" x14ac:dyDescent="0.3">
      <c r="A3" s="3">
        <v>1</v>
      </c>
      <c r="B3" s="3">
        <v>0</v>
      </c>
      <c r="C3" s="3">
        <v>159</v>
      </c>
      <c r="D3" s="3">
        <v>49</v>
      </c>
      <c r="E3" s="3">
        <v>36</v>
      </c>
      <c r="F3" s="3">
        <v>68</v>
      </c>
      <c r="G3" s="3">
        <v>42</v>
      </c>
      <c r="H3" s="3">
        <v>57</v>
      </c>
      <c r="I3" s="3">
        <v>40</v>
      </c>
      <c r="K3" s="6">
        <v>1</v>
      </c>
    </row>
    <row r="4" spans="1:11" x14ac:dyDescent="0.3">
      <c r="A4" s="3">
        <v>2</v>
      </c>
      <c r="B4" s="3">
        <v>1</v>
      </c>
      <c r="C4" s="3">
        <v>164</v>
      </c>
      <c r="D4" s="3">
        <v>62</v>
      </c>
      <c r="E4" s="3">
        <v>39</v>
      </c>
      <c r="F4" s="3">
        <v>73</v>
      </c>
      <c r="G4" s="3">
        <v>44</v>
      </c>
      <c r="H4" s="3">
        <v>55</v>
      </c>
      <c r="I4" s="3">
        <v>44</v>
      </c>
      <c r="K4" s="6">
        <v>1</v>
      </c>
    </row>
    <row r="5" spans="1:11" x14ac:dyDescent="0.3">
      <c r="A5" s="3">
        <v>3</v>
      </c>
      <c r="B5" s="3">
        <v>0</v>
      </c>
      <c r="C5" s="3">
        <v>172</v>
      </c>
      <c r="D5" s="3">
        <v>65</v>
      </c>
      <c r="E5" s="3">
        <v>38</v>
      </c>
      <c r="F5" s="3">
        <v>75</v>
      </c>
      <c r="G5" s="3">
        <v>48</v>
      </c>
      <c r="H5" s="3">
        <v>58</v>
      </c>
      <c r="I5" s="3">
        <v>44</v>
      </c>
      <c r="K5" s="6">
        <v>1</v>
      </c>
    </row>
    <row r="6" spans="1:11" x14ac:dyDescent="0.3">
      <c r="A6" s="3">
        <v>4</v>
      </c>
      <c r="B6" s="3">
        <v>0</v>
      </c>
      <c r="C6" s="3">
        <v>167</v>
      </c>
      <c r="D6" s="3">
        <v>52</v>
      </c>
      <c r="E6" s="3">
        <v>37</v>
      </c>
      <c r="F6" s="3">
        <v>73</v>
      </c>
      <c r="G6" s="3">
        <v>41.5</v>
      </c>
      <c r="H6" s="3">
        <v>58</v>
      </c>
      <c r="I6" s="3">
        <v>44</v>
      </c>
      <c r="K6" s="6">
        <v>1</v>
      </c>
    </row>
    <row r="7" spans="1:11" x14ac:dyDescent="0.3">
      <c r="A7" s="3">
        <v>5</v>
      </c>
      <c r="B7" s="3">
        <v>0</v>
      </c>
      <c r="C7" s="3">
        <v>164</v>
      </c>
      <c r="D7" s="3">
        <v>51</v>
      </c>
      <c r="E7" s="3">
        <v>36</v>
      </c>
      <c r="F7" s="3">
        <v>71</v>
      </c>
      <c r="G7" s="3">
        <v>44.5</v>
      </c>
      <c r="H7" s="3">
        <v>54</v>
      </c>
      <c r="I7" s="3">
        <v>40</v>
      </c>
      <c r="K7" s="6">
        <v>1</v>
      </c>
    </row>
    <row r="8" spans="1:11" x14ac:dyDescent="0.3">
      <c r="A8" s="3">
        <v>6</v>
      </c>
      <c r="B8" s="3">
        <v>0</v>
      </c>
      <c r="C8" s="3">
        <v>161</v>
      </c>
      <c r="D8" s="3">
        <v>67</v>
      </c>
      <c r="E8" s="3">
        <v>38</v>
      </c>
      <c r="F8" s="3">
        <v>71</v>
      </c>
      <c r="G8" s="3">
        <v>44</v>
      </c>
      <c r="H8" s="3">
        <v>56</v>
      </c>
      <c r="I8" s="3">
        <v>42</v>
      </c>
      <c r="K8" s="6">
        <v>1</v>
      </c>
    </row>
    <row r="9" spans="1:11" x14ac:dyDescent="0.3">
      <c r="A9" s="3">
        <v>7</v>
      </c>
      <c r="B9" s="3">
        <v>0</v>
      </c>
      <c r="C9" s="3">
        <v>168</v>
      </c>
      <c r="D9" s="3">
        <v>48</v>
      </c>
      <c r="E9" s="3">
        <v>39</v>
      </c>
      <c r="F9" s="3">
        <v>72.5</v>
      </c>
      <c r="G9" s="3">
        <v>41</v>
      </c>
      <c r="H9" s="3">
        <v>54.5</v>
      </c>
      <c r="I9" s="3">
        <v>43</v>
      </c>
      <c r="K9" s="6">
        <v>1</v>
      </c>
    </row>
    <row r="10" spans="1:11" x14ac:dyDescent="0.3">
      <c r="A10" s="3">
        <v>8</v>
      </c>
      <c r="B10" s="3">
        <v>1</v>
      </c>
      <c r="C10" s="3">
        <v>181</v>
      </c>
      <c r="D10" s="3">
        <v>74</v>
      </c>
      <c r="E10" s="3">
        <v>43</v>
      </c>
      <c r="F10" s="3">
        <v>74</v>
      </c>
      <c r="G10" s="3">
        <v>50</v>
      </c>
      <c r="H10" s="3">
        <v>60</v>
      </c>
      <c r="I10" s="3">
        <v>47</v>
      </c>
      <c r="K10" s="6">
        <v>1</v>
      </c>
    </row>
    <row r="11" spans="1:11" x14ac:dyDescent="0.3">
      <c r="A11" s="3">
        <v>9</v>
      </c>
      <c r="B11" s="3">
        <v>1</v>
      </c>
      <c r="C11" s="3">
        <v>183</v>
      </c>
      <c r="D11" s="3">
        <v>74</v>
      </c>
      <c r="E11" s="3">
        <v>41</v>
      </c>
      <c r="F11" s="3">
        <v>79</v>
      </c>
      <c r="G11" s="3">
        <v>47.5</v>
      </c>
      <c r="H11" s="3">
        <v>59.5</v>
      </c>
      <c r="I11" s="3">
        <v>47</v>
      </c>
      <c r="K11" s="6">
        <v>1</v>
      </c>
    </row>
    <row r="12" spans="1:11" x14ac:dyDescent="0.3">
      <c r="A12" s="3">
        <v>10</v>
      </c>
      <c r="B12" s="3">
        <v>0</v>
      </c>
      <c r="C12" s="3">
        <v>158</v>
      </c>
      <c r="D12" s="3">
        <v>50</v>
      </c>
      <c r="E12" s="3">
        <v>36</v>
      </c>
      <c r="F12" s="3">
        <v>68.5</v>
      </c>
      <c r="G12" s="3">
        <v>44</v>
      </c>
      <c r="H12" s="3">
        <v>57</v>
      </c>
      <c r="I12" s="3">
        <v>41</v>
      </c>
      <c r="K12" s="6">
        <v>1</v>
      </c>
    </row>
    <row r="13" spans="1:11" x14ac:dyDescent="0.3">
      <c r="A13" s="3">
        <v>11</v>
      </c>
      <c r="B13" s="3">
        <v>0</v>
      </c>
      <c r="C13" s="3">
        <v>156</v>
      </c>
      <c r="D13" s="3">
        <v>65</v>
      </c>
      <c r="E13" s="3">
        <v>36</v>
      </c>
      <c r="F13" s="3">
        <v>68</v>
      </c>
      <c r="G13" s="3">
        <v>46</v>
      </c>
      <c r="H13" s="3">
        <v>58</v>
      </c>
      <c r="I13" s="3">
        <v>41</v>
      </c>
      <c r="K13" s="6">
        <v>1</v>
      </c>
    </row>
    <row r="14" spans="1:11" x14ac:dyDescent="0.3">
      <c r="A14" s="3">
        <v>12</v>
      </c>
      <c r="B14" s="3">
        <v>1</v>
      </c>
      <c r="C14" s="3">
        <v>173</v>
      </c>
      <c r="D14" s="3">
        <v>64</v>
      </c>
      <c r="E14" s="3">
        <v>40</v>
      </c>
      <c r="F14" s="3">
        <v>79</v>
      </c>
      <c r="G14" s="3">
        <v>48</v>
      </c>
      <c r="H14" s="3">
        <v>56.5</v>
      </c>
      <c r="I14" s="3">
        <v>47</v>
      </c>
      <c r="K14" s="6">
        <v>1</v>
      </c>
    </row>
    <row r="15" spans="1:11" x14ac:dyDescent="0.3">
      <c r="A15" s="3">
        <v>13</v>
      </c>
      <c r="B15" s="3">
        <v>0</v>
      </c>
      <c r="C15" s="3">
        <v>158</v>
      </c>
      <c r="D15" s="3">
        <v>43</v>
      </c>
      <c r="E15" s="3">
        <v>36</v>
      </c>
      <c r="F15" s="3">
        <v>68</v>
      </c>
      <c r="G15" s="3">
        <v>43</v>
      </c>
      <c r="H15" s="3">
        <v>55</v>
      </c>
      <c r="I15" s="3">
        <v>39</v>
      </c>
      <c r="K15" s="6">
        <v>1</v>
      </c>
    </row>
    <row r="16" spans="1:11" x14ac:dyDescent="0.3">
      <c r="A16" s="3">
        <v>14</v>
      </c>
      <c r="B16" s="3">
        <v>1</v>
      </c>
      <c r="C16" s="3">
        <v>178</v>
      </c>
      <c r="D16" s="3">
        <v>74</v>
      </c>
      <c r="E16" s="3">
        <v>42</v>
      </c>
      <c r="F16" s="3">
        <v>75</v>
      </c>
      <c r="G16" s="3">
        <v>50</v>
      </c>
      <c r="H16" s="3">
        <v>59</v>
      </c>
      <c r="I16" s="3">
        <v>45</v>
      </c>
      <c r="K16" s="6">
        <v>1</v>
      </c>
    </row>
    <row r="17" spans="1:11" x14ac:dyDescent="0.3">
      <c r="A17" s="3">
        <v>15</v>
      </c>
      <c r="B17" s="3">
        <v>1</v>
      </c>
      <c r="C17" s="3">
        <v>181</v>
      </c>
      <c r="D17" s="3">
        <v>76</v>
      </c>
      <c r="E17" s="3">
        <v>43</v>
      </c>
      <c r="F17" s="3">
        <v>83</v>
      </c>
      <c r="G17" s="3">
        <v>51</v>
      </c>
      <c r="H17" s="3">
        <v>57</v>
      </c>
      <c r="I17" s="3">
        <v>43</v>
      </c>
      <c r="K17" s="6">
        <v>1</v>
      </c>
    </row>
    <row r="18" spans="1:11" x14ac:dyDescent="0.3">
      <c r="A18" s="3">
        <v>16</v>
      </c>
      <c r="B18" s="3">
        <v>1</v>
      </c>
      <c r="C18" s="3">
        <v>182</v>
      </c>
      <c r="D18" s="3">
        <v>91</v>
      </c>
      <c r="E18" s="3">
        <v>41</v>
      </c>
      <c r="F18" s="3">
        <v>83</v>
      </c>
      <c r="G18" s="3">
        <v>53</v>
      </c>
      <c r="H18" s="3">
        <v>59</v>
      </c>
      <c r="I18" s="3">
        <v>43</v>
      </c>
      <c r="K18" s="6">
        <v>1</v>
      </c>
    </row>
    <row r="19" spans="1:11" x14ac:dyDescent="0.3">
      <c r="A19" s="3">
        <v>17</v>
      </c>
      <c r="B19" s="3">
        <v>1</v>
      </c>
      <c r="C19" s="3">
        <v>176</v>
      </c>
      <c r="D19" s="3">
        <v>73</v>
      </c>
      <c r="E19" s="3">
        <v>42</v>
      </c>
      <c r="F19" s="3">
        <v>78</v>
      </c>
      <c r="G19" s="3">
        <v>48</v>
      </c>
      <c r="H19" s="3">
        <v>58</v>
      </c>
      <c r="I19" s="3">
        <v>45</v>
      </c>
      <c r="K19" s="6">
        <v>1</v>
      </c>
    </row>
    <row r="20" spans="1:11" x14ac:dyDescent="0.3">
      <c r="A20" s="3">
        <v>18</v>
      </c>
      <c r="B20" s="3">
        <v>0</v>
      </c>
      <c r="C20" s="3">
        <v>162</v>
      </c>
      <c r="D20" s="3">
        <v>68</v>
      </c>
      <c r="E20" s="3">
        <v>39</v>
      </c>
      <c r="F20" s="3">
        <v>72</v>
      </c>
      <c r="G20" s="3">
        <v>44</v>
      </c>
      <c r="H20" s="3">
        <v>59</v>
      </c>
      <c r="I20" s="3">
        <v>42</v>
      </c>
      <c r="K20" s="6">
        <v>1</v>
      </c>
    </row>
    <row r="21" spans="1:11" x14ac:dyDescent="0.3">
      <c r="A21" s="3">
        <v>19</v>
      </c>
      <c r="B21" s="3">
        <v>0</v>
      </c>
      <c r="C21" s="3">
        <v>156</v>
      </c>
      <c r="D21" s="3">
        <v>52</v>
      </c>
      <c r="E21" s="3">
        <v>36</v>
      </c>
      <c r="F21" s="3">
        <v>67</v>
      </c>
      <c r="G21" s="3">
        <v>36</v>
      </c>
      <c r="H21" s="3">
        <v>56</v>
      </c>
      <c r="I21" s="3">
        <v>41</v>
      </c>
      <c r="K21" s="6">
        <v>1</v>
      </c>
    </row>
    <row r="22" spans="1:11" x14ac:dyDescent="0.3">
      <c r="A22" s="3">
        <v>20</v>
      </c>
      <c r="B22" s="3">
        <v>0</v>
      </c>
      <c r="C22" s="3">
        <v>152</v>
      </c>
      <c r="D22" s="3">
        <v>45</v>
      </c>
      <c r="E22" s="3">
        <v>34</v>
      </c>
      <c r="F22" s="3">
        <v>66</v>
      </c>
      <c r="G22" s="3">
        <v>40</v>
      </c>
      <c r="H22" s="3">
        <v>55</v>
      </c>
      <c r="I22" s="3">
        <v>38</v>
      </c>
      <c r="K22" s="6">
        <v>1</v>
      </c>
    </row>
    <row r="23" spans="1:11" x14ac:dyDescent="0.3">
      <c r="A23" s="3">
        <v>21</v>
      </c>
      <c r="B23" s="3">
        <v>1</v>
      </c>
      <c r="C23" s="3">
        <v>181</v>
      </c>
      <c r="D23" s="3">
        <v>80</v>
      </c>
      <c r="E23" s="3">
        <v>43</v>
      </c>
      <c r="F23" s="3">
        <v>76</v>
      </c>
      <c r="G23" s="3">
        <v>49</v>
      </c>
      <c r="H23" s="3">
        <v>57</v>
      </c>
      <c r="I23" s="3">
        <v>46</v>
      </c>
      <c r="K23" s="6">
        <v>1</v>
      </c>
    </row>
    <row r="24" spans="1:11" x14ac:dyDescent="0.3">
      <c r="A24" s="3">
        <v>22</v>
      </c>
      <c r="B24" s="3">
        <v>1</v>
      </c>
      <c r="C24" s="3">
        <v>173</v>
      </c>
      <c r="D24" s="3">
        <v>69</v>
      </c>
      <c r="E24" s="3">
        <v>41</v>
      </c>
      <c r="F24" s="3">
        <v>74</v>
      </c>
      <c r="G24" s="3">
        <v>48</v>
      </c>
      <c r="H24" s="3">
        <v>56</v>
      </c>
      <c r="I24" s="3">
        <v>44</v>
      </c>
      <c r="K24" s="6">
        <v>1</v>
      </c>
    </row>
    <row r="25" spans="1:11" x14ac:dyDescent="0.3">
      <c r="A25" s="3">
        <v>23</v>
      </c>
      <c r="B25" s="3">
        <v>0</v>
      </c>
      <c r="C25" s="3">
        <v>155</v>
      </c>
      <c r="D25" s="3">
        <v>53</v>
      </c>
      <c r="E25" s="3">
        <v>36</v>
      </c>
      <c r="F25" s="3">
        <v>67</v>
      </c>
      <c r="G25" s="3">
        <v>43</v>
      </c>
      <c r="H25" s="3">
        <v>56</v>
      </c>
      <c r="I25" s="3">
        <v>38</v>
      </c>
      <c r="K25" s="6">
        <v>1</v>
      </c>
    </row>
    <row r="26" spans="1:11" x14ac:dyDescent="0.3">
      <c r="A26" s="3">
        <v>24</v>
      </c>
      <c r="B26" s="3">
        <v>1</v>
      </c>
      <c r="C26" s="3">
        <v>189</v>
      </c>
      <c r="D26" s="3">
        <v>87</v>
      </c>
      <c r="E26" s="3">
        <v>45</v>
      </c>
      <c r="F26" s="3">
        <v>82</v>
      </c>
      <c r="G26" s="3">
        <v>53</v>
      </c>
      <c r="H26" s="3">
        <v>61</v>
      </c>
      <c r="I26" s="3">
        <v>52</v>
      </c>
      <c r="K26" s="6">
        <v>1</v>
      </c>
    </row>
    <row r="27" spans="1:11" x14ac:dyDescent="0.3">
      <c r="A27" s="3">
        <v>25</v>
      </c>
      <c r="B27" s="3">
        <v>0</v>
      </c>
      <c r="C27" s="3">
        <v>170</v>
      </c>
      <c r="D27" s="3">
        <v>70</v>
      </c>
      <c r="E27" s="3">
        <v>38</v>
      </c>
      <c r="F27" s="3">
        <v>73</v>
      </c>
      <c r="G27" s="3">
        <v>45</v>
      </c>
      <c r="H27" s="3">
        <v>56</v>
      </c>
      <c r="I27" s="3">
        <v>43</v>
      </c>
      <c r="K27" s="6">
        <v>1</v>
      </c>
    </row>
    <row r="28" spans="1:11" x14ac:dyDescent="0.3">
      <c r="A28" s="3">
        <v>26</v>
      </c>
      <c r="B28" s="3">
        <v>1</v>
      </c>
      <c r="C28" s="3">
        <v>170</v>
      </c>
      <c r="D28" s="3">
        <v>67</v>
      </c>
      <c r="E28" s="3">
        <v>40</v>
      </c>
      <c r="F28" s="3">
        <v>77</v>
      </c>
      <c r="G28" s="3">
        <v>46.5</v>
      </c>
      <c r="H28" s="3">
        <v>58</v>
      </c>
      <c r="I28" s="3">
        <v>44.5</v>
      </c>
      <c r="K28" s="6">
        <v>1</v>
      </c>
    </row>
    <row r="29" spans="1:11" x14ac:dyDescent="0.3">
      <c r="A29" s="3">
        <v>27</v>
      </c>
      <c r="B29" s="3">
        <v>0</v>
      </c>
      <c r="C29" s="3">
        <v>168</v>
      </c>
      <c r="D29" s="3">
        <v>56</v>
      </c>
      <c r="E29" s="3">
        <v>37.5</v>
      </c>
      <c r="F29" s="3">
        <v>70.5</v>
      </c>
      <c r="G29" s="3">
        <v>48</v>
      </c>
      <c r="H29" s="3">
        <v>60</v>
      </c>
      <c r="I29" s="3">
        <v>40</v>
      </c>
      <c r="K29" s="6">
        <v>1</v>
      </c>
    </row>
    <row r="31" spans="1:11" x14ac:dyDescent="0.3">
      <c r="A31" s="4" t="s">
        <v>10</v>
      </c>
    </row>
    <row r="34" spans="1:28" x14ac:dyDescent="0.3">
      <c r="A34" s="5" t="s">
        <v>12</v>
      </c>
      <c r="B34" s="5"/>
      <c r="C34" s="5"/>
      <c r="D34" s="5"/>
      <c r="E34" s="5"/>
      <c r="F34" s="5"/>
      <c r="G34" s="5"/>
      <c r="H34" s="5"/>
      <c r="I34" s="5"/>
      <c r="J34" s="5"/>
    </row>
    <row r="36" spans="1:28" x14ac:dyDescent="0.3">
      <c r="B36" cm="1">
        <f t="array" ref="B36:AB43">TRANSPOSE(B3:I29)</f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1</v>
      </c>
      <c r="Z36">
        <v>0</v>
      </c>
      <c r="AA36">
        <v>1</v>
      </c>
      <c r="AB36">
        <v>0</v>
      </c>
    </row>
    <row r="37" spans="1:28" x14ac:dyDescent="0.3">
      <c r="B37">
        <v>159</v>
      </c>
      <c r="C37">
        <v>164</v>
      </c>
      <c r="D37">
        <v>172</v>
      </c>
      <c r="E37">
        <v>167</v>
      </c>
      <c r="F37">
        <v>164</v>
      </c>
      <c r="G37">
        <v>161</v>
      </c>
      <c r="H37">
        <v>168</v>
      </c>
      <c r="I37">
        <v>181</v>
      </c>
      <c r="J37">
        <v>183</v>
      </c>
      <c r="K37">
        <v>158</v>
      </c>
      <c r="L37">
        <v>156</v>
      </c>
      <c r="M37">
        <v>173</v>
      </c>
      <c r="N37">
        <v>158</v>
      </c>
      <c r="O37">
        <v>178</v>
      </c>
      <c r="P37">
        <v>181</v>
      </c>
      <c r="Q37">
        <v>182</v>
      </c>
      <c r="R37">
        <v>176</v>
      </c>
      <c r="S37">
        <v>162</v>
      </c>
      <c r="T37">
        <v>156</v>
      </c>
      <c r="U37">
        <v>152</v>
      </c>
      <c r="V37">
        <v>181</v>
      </c>
      <c r="W37">
        <v>173</v>
      </c>
      <c r="X37">
        <v>155</v>
      </c>
      <c r="Y37">
        <v>189</v>
      </c>
      <c r="Z37">
        <v>170</v>
      </c>
      <c r="AA37">
        <v>170</v>
      </c>
      <c r="AB37">
        <v>168</v>
      </c>
    </row>
    <row r="38" spans="1:28" x14ac:dyDescent="0.3">
      <c r="B38">
        <v>49</v>
      </c>
      <c r="C38">
        <v>62</v>
      </c>
      <c r="D38">
        <v>65</v>
      </c>
      <c r="E38">
        <v>52</v>
      </c>
      <c r="F38">
        <v>51</v>
      </c>
      <c r="G38">
        <v>67</v>
      </c>
      <c r="H38">
        <v>48</v>
      </c>
      <c r="I38">
        <v>74</v>
      </c>
      <c r="J38">
        <v>74</v>
      </c>
      <c r="K38">
        <v>50</v>
      </c>
      <c r="L38">
        <v>65</v>
      </c>
      <c r="M38">
        <v>64</v>
      </c>
      <c r="N38">
        <v>43</v>
      </c>
      <c r="O38">
        <v>74</v>
      </c>
      <c r="P38">
        <v>76</v>
      </c>
      <c r="Q38">
        <v>91</v>
      </c>
      <c r="R38">
        <v>73</v>
      </c>
      <c r="S38">
        <v>68</v>
      </c>
      <c r="T38">
        <v>52</v>
      </c>
      <c r="U38">
        <v>45</v>
      </c>
      <c r="V38">
        <v>80</v>
      </c>
      <c r="W38">
        <v>69</v>
      </c>
      <c r="X38">
        <v>53</v>
      </c>
      <c r="Y38">
        <v>87</v>
      </c>
      <c r="Z38">
        <v>70</v>
      </c>
      <c r="AA38">
        <v>67</v>
      </c>
      <c r="AB38">
        <v>56</v>
      </c>
    </row>
    <row r="39" spans="1:28" x14ac:dyDescent="0.3">
      <c r="B39">
        <v>36</v>
      </c>
      <c r="C39">
        <v>39</v>
      </c>
      <c r="D39">
        <v>38</v>
      </c>
      <c r="E39">
        <v>37</v>
      </c>
      <c r="F39">
        <v>36</v>
      </c>
      <c r="G39">
        <v>38</v>
      </c>
      <c r="H39">
        <v>39</v>
      </c>
      <c r="I39">
        <v>43</v>
      </c>
      <c r="J39">
        <v>41</v>
      </c>
      <c r="K39">
        <v>36</v>
      </c>
      <c r="L39">
        <v>36</v>
      </c>
      <c r="M39">
        <v>40</v>
      </c>
      <c r="N39">
        <v>36</v>
      </c>
      <c r="O39">
        <v>42</v>
      </c>
      <c r="P39">
        <v>43</v>
      </c>
      <c r="Q39">
        <v>41</v>
      </c>
      <c r="R39">
        <v>42</v>
      </c>
      <c r="S39">
        <v>39</v>
      </c>
      <c r="T39">
        <v>36</v>
      </c>
      <c r="U39">
        <v>34</v>
      </c>
      <c r="V39">
        <v>43</v>
      </c>
      <c r="W39">
        <v>41</v>
      </c>
      <c r="X39">
        <v>36</v>
      </c>
      <c r="Y39">
        <v>45</v>
      </c>
      <c r="Z39">
        <v>38</v>
      </c>
      <c r="AA39">
        <v>40</v>
      </c>
      <c r="AB39">
        <v>37.5</v>
      </c>
    </row>
    <row r="40" spans="1:28" x14ac:dyDescent="0.3">
      <c r="B40">
        <v>68</v>
      </c>
      <c r="C40">
        <v>73</v>
      </c>
      <c r="D40">
        <v>75</v>
      </c>
      <c r="E40">
        <v>73</v>
      </c>
      <c r="F40">
        <v>71</v>
      </c>
      <c r="G40">
        <v>71</v>
      </c>
      <c r="H40">
        <v>72.5</v>
      </c>
      <c r="I40">
        <v>74</v>
      </c>
      <c r="J40">
        <v>79</v>
      </c>
      <c r="K40">
        <v>68.5</v>
      </c>
      <c r="L40">
        <v>68</v>
      </c>
      <c r="M40">
        <v>79</v>
      </c>
      <c r="N40">
        <v>68</v>
      </c>
      <c r="O40">
        <v>75</v>
      </c>
      <c r="P40">
        <v>83</v>
      </c>
      <c r="Q40">
        <v>83</v>
      </c>
      <c r="R40">
        <v>78</v>
      </c>
      <c r="S40">
        <v>72</v>
      </c>
      <c r="T40">
        <v>67</v>
      </c>
      <c r="U40">
        <v>66</v>
      </c>
      <c r="V40">
        <v>76</v>
      </c>
      <c r="W40">
        <v>74</v>
      </c>
      <c r="X40">
        <v>67</v>
      </c>
      <c r="Y40">
        <v>82</v>
      </c>
      <c r="Z40">
        <v>73</v>
      </c>
      <c r="AA40">
        <v>77</v>
      </c>
      <c r="AB40">
        <v>70.5</v>
      </c>
    </row>
    <row r="41" spans="1:28" x14ac:dyDescent="0.3">
      <c r="B41">
        <v>42</v>
      </c>
      <c r="C41">
        <v>44</v>
      </c>
      <c r="D41">
        <v>48</v>
      </c>
      <c r="E41">
        <v>41.5</v>
      </c>
      <c r="F41">
        <v>44.5</v>
      </c>
      <c r="G41">
        <v>44</v>
      </c>
      <c r="H41">
        <v>41</v>
      </c>
      <c r="I41">
        <v>50</v>
      </c>
      <c r="J41">
        <v>47.5</v>
      </c>
      <c r="K41">
        <v>44</v>
      </c>
      <c r="L41">
        <v>46</v>
      </c>
      <c r="M41">
        <v>48</v>
      </c>
      <c r="N41">
        <v>43</v>
      </c>
      <c r="O41">
        <v>50</v>
      </c>
      <c r="P41">
        <v>51</v>
      </c>
      <c r="Q41">
        <v>53</v>
      </c>
      <c r="R41">
        <v>48</v>
      </c>
      <c r="S41">
        <v>44</v>
      </c>
      <c r="T41">
        <v>36</v>
      </c>
      <c r="U41">
        <v>40</v>
      </c>
      <c r="V41">
        <v>49</v>
      </c>
      <c r="W41">
        <v>48</v>
      </c>
      <c r="X41">
        <v>43</v>
      </c>
      <c r="Y41">
        <v>53</v>
      </c>
      <c r="Z41">
        <v>45</v>
      </c>
      <c r="AA41">
        <v>46.5</v>
      </c>
      <c r="AB41">
        <v>48</v>
      </c>
    </row>
    <row r="42" spans="1:28" x14ac:dyDescent="0.3">
      <c r="B42">
        <v>57</v>
      </c>
      <c r="C42">
        <v>55</v>
      </c>
      <c r="D42">
        <v>58</v>
      </c>
      <c r="E42">
        <v>58</v>
      </c>
      <c r="F42">
        <v>54</v>
      </c>
      <c r="G42">
        <v>56</v>
      </c>
      <c r="H42">
        <v>54.5</v>
      </c>
      <c r="I42">
        <v>60</v>
      </c>
      <c r="J42">
        <v>59.5</v>
      </c>
      <c r="K42">
        <v>57</v>
      </c>
      <c r="L42">
        <v>58</v>
      </c>
      <c r="M42">
        <v>56.5</v>
      </c>
      <c r="N42">
        <v>55</v>
      </c>
      <c r="O42">
        <v>59</v>
      </c>
      <c r="P42">
        <v>57</v>
      </c>
      <c r="Q42">
        <v>59</v>
      </c>
      <c r="R42">
        <v>58</v>
      </c>
      <c r="S42">
        <v>59</v>
      </c>
      <c r="T42">
        <v>56</v>
      </c>
      <c r="U42">
        <v>55</v>
      </c>
      <c r="V42">
        <v>57</v>
      </c>
      <c r="W42">
        <v>56</v>
      </c>
      <c r="X42">
        <v>56</v>
      </c>
      <c r="Y42">
        <v>61</v>
      </c>
      <c r="Z42">
        <v>56</v>
      </c>
      <c r="AA42">
        <v>58</v>
      </c>
      <c r="AB42">
        <v>60</v>
      </c>
    </row>
    <row r="43" spans="1:28" x14ac:dyDescent="0.3">
      <c r="B43">
        <v>40</v>
      </c>
      <c r="C43">
        <v>44</v>
      </c>
      <c r="D43">
        <v>44</v>
      </c>
      <c r="E43">
        <v>44</v>
      </c>
      <c r="F43">
        <v>40</v>
      </c>
      <c r="G43">
        <v>42</v>
      </c>
      <c r="H43">
        <v>43</v>
      </c>
      <c r="I43">
        <v>47</v>
      </c>
      <c r="J43">
        <v>47</v>
      </c>
      <c r="K43">
        <v>41</v>
      </c>
      <c r="L43">
        <v>41</v>
      </c>
      <c r="M43">
        <v>47</v>
      </c>
      <c r="N43">
        <v>39</v>
      </c>
      <c r="O43">
        <v>45</v>
      </c>
      <c r="P43">
        <v>43</v>
      </c>
      <c r="Q43">
        <v>43</v>
      </c>
      <c r="R43">
        <v>45</v>
      </c>
      <c r="S43">
        <v>42</v>
      </c>
      <c r="T43">
        <v>41</v>
      </c>
      <c r="U43">
        <v>38</v>
      </c>
      <c r="V43">
        <v>46</v>
      </c>
      <c r="W43">
        <v>44</v>
      </c>
      <c r="X43">
        <v>38</v>
      </c>
      <c r="Y43">
        <v>52</v>
      </c>
      <c r="Z43">
        <v>43</v>
      </c>
      <c r="AA43">
        <v>44.5</v>
      </c>
      <c r="AB43">
        <v>40</v>
      </c>
    </row>
    <row r="46" spans="1:28" x14ac:dyDescent="0.3">
      <c r="A46" s="5" t="s">
        <v>11</v>
      </c>
      <c r="B46" s="5"/>
      <c r="C46" s="5"/>
      <c r="D46" s="5"/>
      <c r="E46" s="5"/>
      <c r="F46" s="5"/>
      <c r="G46" s="5"/>
      <c r="H46" s="5"/>
      <c r="I46" s="5"/>
      <c r="J46" s="5"/>
    </row>
    <row r="48" spans="1:28" x14ac:dyDescent="0.3">
      <c r="A48" t="s">
        <v>2</v>
      </c>
      <c r="C48" cm="1">
        <f t="array" ref="C48:C55">MMULT(_xlfn.ANCHORARRAY(B36),K3:K29)</f>
        <v>12</v>
      </c>
      <c r="F48" s="7" t="s">
        <v>14</v>
      </c>
      <c r="G48" s="7">
        <v>27</v>
      </c>
    </row>
    <row r="49" spans="1:10" x14ac:dyDescent="0.3">
      <c r="A49" s="6" t="s">
        <v>3</v>
      </c>
      <c r="C49">
        <v>4557</v>
      </c>
      <c r="F49" s="7" t="s">
        <v>15</v>
      </c>
      <c r="G49" s="7">
        <f>G48-1</f>
        <v>26</v>
      </c>
    </row>
    <row r="50" spans="1:10" x14ac:dyDescent="0.3">
      <c r="A50" s="6" t="s">
        <v>4</v>
      </c>
      <c r="C50">
        <v>1725</v>
      </c>
    </row>
    <row r="51" spans="1:10" x14ac:dyDescent="0.3">
      <c r="A51" s="6" t="s">
        <v>5</v>
      </c>
      <c r="C51">
        <v>1052.5</v>
      </c>
    </row>
    <row r="52" spans="1:10" x14ac:dyDescent="0.3">
      <c r="A52" s="6" t="s">
        <v>6</v>
      </c>
      <c r="C52">
        <v>1983.5</v>
      </c>
    </row>
    <row r="53" spans="1:10" x14ac:dyDescent="0.3">
      <c r="A53" s="6" t="s">
        <v>7</v>
      </c>
      <c r="C53">
        <v>1238</v>
      </c>
    </row>
    <row r="54" spans="1:10" x14ac:dyDescent="0.3">
      <c r="A54" s="6" t="s">
        <v>8</v>
      </c>
      <c r="C54">
        <v>1545.5</v>
      </c>
    </row>
    <row r="55" spans="1:10" x14ac:dyDescent="0.3">
      <c r="A55" s="6" t="s">
        <v>9</v>
      </c>
      <c r="C55">
        <v>1163.5</v>
      </c>
    </row>
    <row r="56" spans="1:10" x14ac:dyDescent="0.3">
      <c r="D56" s="7"/>
      <c r="E56" s="7"/>
      <c r="F56" s="7"/>
      <c r="G56" s="7"/>
      <c r="H56" s="7"/>
      <c r="I56" s="7"/>
      <c r="J56" s="7"/>
    </row>
    <row r="59" spans="1:10" x14ac:dyDescent="0.3">
      <c r="A59" s="5" t="s">
        <v>17</v>
      </c>
      <c r="B59" s="5"/>
      <c r="C59" s="5"/>
      <c r="D59" s="5"/>
      <c r="E59" s="5"/>
      <c r="F59" s="5"/>
      <c r="G59" s="5"/>
      <c r="H59" s="5"/>
      <c r="I59" s="5"/>
      <c r="J59" s="5"/>
    </row>
    <row r="61" spans="1:10" x14ac:dyDescent="0.3">
      <c r="A61" t="s">
        <v>2</v>
      </c>
      <c r="C61" s="8">
        <f>C48*(1/$G$48)</f>
        <v>0.44444444444444442</v>
      </c>
    </row>
    <row r="62" spans="1:10" x14ac:dyDescent="0.3">
      <c r="A62" s="6" t="s">
        <v>3</v>
      </c>
      <c r="C62" s="8">
        <f t="shared" ref="C62:C68" si="0">C49*(1/$G$48)</f>
        <v>168.77777777777777</v>
      </c>
    </row>
    <row r="63" spans="1:10" x14ac:dyDescent="0.3">
      <c r="A63" s="6" t="s">
        <v>4</v>
      </c>
      <c r="C63" s="8">
        <f t="shared" si="0"/>
        <v>63.888888888888886</v>
      </c>
    </row>
    <row r="64" spans="1:10" x14ac:dyDescent="0.3">
      <c r="A64" s="6" t="s">
        <v>5</v>
      </c>
      <c r="C64" s="8">
        <f t="shared" si="0"/>
        <v>38.981481481481481</v>
      </c>
    </row>
    <row r="65" spans="1:11" x14ac:dyDescent="0.3">
      <c r="A65" s="6" t="s">
        <v>6</v>
      </c>
      <c r="C65" s="8">
        <f t="shared" si="0"/>
        <v>73.462962962962962</v>
      </c>
    </row>
    <row r="66" spans="1:11" x14ac:dyDescent="0.3">
      <c r="A66" s="6" t="s">
        <v>7</v>
      </c>
      <c r="C66" s="8">
        <f t="shared" si="0"/>
        <v>45.851851851851848</v>
      </c>
    </row>
    <row r="67" spans="1:11" x14ac:dyDescent="0.3">
      <c r="A67" s="6" t="s">
        <v>8</v>
      </c>
      <c r="C67" s="8">
        <f t="shared" si="0"/>
        <v>57.24074074074074</v>
      </c>
    </row>
    <row r="68" spans="1:11" x14ac:dyDescent="0.3">
      <c r="A68" s="6" t="s">
        <v>9</v>
      </c>
      <c r="C68" s="8">
        <f t="shared" si="0"/>
        <v>43.092592592592588</v>
      </c>
    </row>
    <row r="70" spans="1:11" x14ac:dyDescent="0.3">
      <c r="D70" s="7" t="s">
        <v>2</v>
      </c>
      <c r="E70" s="7" t="s">
        <v>3</v>
      </c>
      <c r="F70" s="7" t="s">
        <v>4</v>
      </c>
      <c r="G70" s="7" t="s">
        <v>5</v>
      </c>
      <c r="H70" s="7" t="s">
        <v>6</v>
      </c>
      <c r="I70" s="7" t="s">
        <v>7</v>
      </c>
      <c r="J70" s="7" t="s">
        <v>8</v>
      </c>
      <c r="K70" s="7" t="s">
        <v>9</v>
      </c>
    </row>
    <row r="71" spans="1:11" x14ac:dyDescent="0.3">
      <c r="D71" cm="1">
        <f t="array" ref="D71:K71">TRANSPOSE(C61:C68)</f>
        <v>0.44444444444444442</v>
      </c>
      <c r="E71">
        <v>168.77777777777777</v>
      </c>
      <c r="F71">
        <v>63.888888888888886</v>
      </c>
      <c r="G71">
        <v>38.981481481481481</v>
      </c>
      <c r="H71">
        <v>73.462962962962962</v>
      </c>
      <c r="I71">
        <v>45.851851851851848</v>
      </c>
      <c r="J71">
        <v>57.24074074074074</v>
      </c>
      <c r="K71">
        <v>43.092592592592588</v>
      </c>
    </row>
    <row r="73" spans="1:11" x14ac:dyDescent="0.3">
      <c r="A73" s="5" t="s">
        <v>16</v>
      </c>
      <c r="B73" s="5"/>
      <c r="C73" s="5"/>
      <c r="D73" s="5"/>
      <c r="E73" s="5"/>
      <c r="F73" s="5"/>
      <c r="G73" s="5"/>
      <c r="H73" s="5"/>
      <c r="I73" s="5"/>
      <c r="J73" s="5"/>
    </row>
    <row r="76" spans="1:11" x14ac:dyDescent="0.3">
      <c r="B76" cm="1">
        <f t="array" ref="B76:I102">MMULT(K3:K29,_xlfn.ANCHORARRAY(D71))</f>
        <v>0.44444444444444442</v>
      </c>
      <c r="C76">
        <v>168.77777777777777</v>
      </c>
      <c r="D76">
        <v>63.888888888888886</v>
      </c>
      <c r="E76">
        <v>38.981481481481481</v>
      </c>
      <c r="F76">
        <v>73.462962962962962</v>
      </c>
      <c r="G76">
        <v>45.851851851851848</v>
      </c>
      <c r="H76">
        <v>57.24074074074074</v>
      </c>
      <c r="I76">
        <v>43.092592592592588</v>
      </c>
    </row>
    <row r="77" spans="1:11" x14ac:dyDescent="0.3">
      <c r="B77">
        <v>0.44444444444444442</v>
      </c>
      <c r="C77">
        <v>168.77777777777777</v>
      </c>
      <c r="D77">
        <v>63.888888888888886</v>
      </c>
      <c r="E77">
        <v>38.981481481481481</v>
      </c>
      <c r="F77">
        <v>73.462962962962962</v>
      </c>
      <c r="G77">
        <v>45.851851851851848</v>
      </c>
      <c r="H77">
        <v>57.24074074074074</v>
      </c>
      <c r="I77">
        <v>43.092592592592588</v>
      </c>
    </row>
    <row r="78" spans="1:11" x14ac:dyDescent="0.3">
      <c r="B78">
        <v>0.44444444444444442</v>
      </c>
      <c r="C78">
        <v>168.77777777777777</v>
      </c>
      <c r="D78">
        <v>63.888888888888886</v>
      </c>
      <c r="E78">
        <v>38.981481481481481</v>
      </c>
      <c r="F78">
        <v>73.462962962962962</v>
      </c>
      <c r="G78">
        <v>45.851851851851848</v>
      </c>
      <c r="H78">
        <v>57.24074074074074</v>
      </c>
      <c r="I78">
        <v>43.092592592592588</v>
      </c>
    </row>
    <row r="79" spans="1:11" x14ac:dyDescent="0.3">
      <c r="B79">
        <v>0.44444444444444442</v>
      </c>
      <c r="C79">
        <v>168.77777777777777</v>
      </c>
      <c r="D79">
        <v>63.888888888888886</v>
      </c>
      <c r="E79">
        <v>38.981481481481481</v>
      </c>
      <c r="F79">
        <v>73.462962962962962</v>
      </c>
      <c r="G79">
        <v>45.851851851851848</v>
      </c>
      <c r="H79">
        <v>57.24074074074074</v>
      </c>
      <c r="I79">
        <v>43.092592592592588</v>
      </c>
    </row>
    <row r="80" spans="1:11" x14ac:dyDescent="0.3">
      <c r="B80">
        <v>0.44444444444444442</v>
      </c>
      <c r="C80">
        <v>168.77777777777777</v>
      </c>
      <c r="D80">
        <v>63.888888888888886</v>
      </c>
      <c r="E80">
        <v>38.981481481481481</v>
      </c>
      <c r="F80">
        <v>73.462962962962962</v>
      </c>
      <c r="G80">
        <v>45.851851851851848</v>
      </c>
      <c r="H80">
        <v>57.24074074074074</v>
      </c>
      <c r="I80">
        <v>43.092592592592588</v>
      </c>
    </row>
    <row r="81" spans="2:9" x14ac:dyDescent="0.3">
      <c r="B81">
        <v>0.44444444444444442</v>
      </c>
      <c r="C81">
        <v>168.77777777777777</v>
      </c>
      <c r="D81">
        <v>63.888888888888886</v>
      </c>
      <c r="E81">
        <v>38.981481481481481</v>
      </c>
      <c r="F81">
        <v>73.462962962962962</v>
      </c>
      <c r="G81">
        <v>45.851851851851848</v>
      </c>
      <c r="H81">
        <v>57.24074074074074</v>
      </c>
      <c r="I81">
        <v>43.092592592592588</v>
      </c>
    </row>
    <row r="82" spans="2:9" x14ac:dyDescent="0.3">
      <c r="B82">
        <v>0.44444444444444442</v>
      </c>
      <c r="C82">
        <v>168.77777777777777</v>
      </c>
      <c r="D82">
        <v>63.888888888888886</v>
      </c>
      <c r="E82">
        <v>38.981481481481481</v>
      </c>
      <c r="F82">
        <v>73.462962962962962</v>
      </c>
      <c r="G82">
        <v>45.851851851851848</v>
      </c>
      <c r="H82">
        <v>57.24074074074074</v>
      </c>
      <c r="I82">
        <v>43.092592592592588</v>
      </c>
    </row>
    <row r="83" spans="2:9" x14ac:dyDescent="0.3">
      <c r="B83">
        <v>0.44444444444444442</v>
      </c>
      <c r="C83">
        <v>168.77777777777777</v>
      </c>
      <c r="D83">
        <v>63.888888888888886</v>
      </c>
      <c r="E83">
        <v>38.981481481481481</v>
      </c>
      <c r="F83">
        <v>73.462962962962962</v>
      </c>
      <c r="G83">
        <v>45.851851851851848</v>
      </c>
      <c r="H83">
        <v>57.24074074074074</v>
      </c>
      <c r="I83">
        <v>43.092592592592588</v>
      </c>
    </row>
    <row r="84" spans="2:9" x14ac:dyDescent="0.3">
      <c r="B84">
        <v>0.44444444444444442</v>
      </c>
      <c r="C84">
        <v>168.77777777777777</v>
      </c>
      <c r="D84">
        <v>63.888888888888886</v>
      </c>
      <c r="E84">
        <v>38.981481481481481</v>
      </c>
      <c r="F84">
        <v>73.462962962962962</v>
      </c>
      <c r="G84">
        <v>45.851851851851848</v>
      </c>
      <c r="H84">
        <v>57.24074074074074</v>
      </c>
      <c r="I84">
        <v>43.092592592592588</v>
      </c>
    </row>
    <row r="85" spans="2:9" x14ac:dyDescent="0.3">
      <c r="B85">
        <v>0.44444444444444442</v>
      </c>
      <c r="C85">
        <v>168.77777777777777</v>
      </c>
      <c r="D85">
        <v>63.888888888888886</v>
      </c>
      <c r="E85">
        <v>38.981481481481481</v>
      </c>
      <c r="F85">
        <v>73.462962962962962</v>
      </c>
      <c r="G85">
        <v>45.851851851851848</v>
      </c>
      <c r="H85">
        <v>57.24074074074074</v>
      </c>
      <c r="I85">
        <v>43.092592592592588</v>
      </c>
    </row>
    <row r="86" spans="2:9" x14ac:dyDescent="0.3">
      <c r="B86">
        <v>0.44444444444444442</v>
      </c>
      <c r="C86">
        <v>168.77777777777777</v>
      </c>
      <c r="D86">
        <v>63.888888888888886</v>
      </c>
      <c r="E86">
        <v>38.981481481481481</v>
      </c>
      <c r="F86">
        <v>73.462962962962962</v>
      </c>
      <c r="G86">
        <v>45.851851851851848</v>
      </c>
      <c r="H86">
        <v>57.24074074074074</v>
      </c>
      <c r="I86">
        <v>43.092592592592588</v>
      </c>
    </row>
    <row r="87" spans="2:9" x14ac:dyDescent="0.3">
      <c r="B87">
        <v>0.44444444444444442</v>
      </c>
      <c r="C87">
        <v>168.77777777777777</v>
      </c>
      <c r="D87">
        <v>63.888888888888886</v>
      </c>
      <c r="E87">
        <v>38.981481481481481</v>
      </c>
      <c r="F87">
        <v>73.462962962962962</v>
      </c>
      <c r="G87">
        <v>45.851851851851848</v>
      </c>
      <c r="H87">
        <v>57.24074074074074</v>
      </c>
      <c r="I87">
        <v>43.092592592592588</v>
      </c>
    </row>
    <row r="88" spans="2:9" x14ac:dyDescent="0.3">
      <c r="B88">
        <v>0.44444444444444442</v>
      </c>
      <c r="C88">
        <v>168.77777777777777</v>
      </c>
      <c r="D88">
        <v>63.888888888888886</v>
      </c>
      <c r="E88">
        <v>38.981481481481481</v>
      </c>
      <c r="F88">
        <v>73.462962962962962</v>
      </c>
      <c r="G88">
        <v>45.851851851851848</v>
      </c>
      <c r="H88">
        <v>57.24074074074074</v>
      </c>
      <c r="I88">
        <v>43.092592592592588</v>
      </c>
    </row>
    <row r="89" spans="2:9" x14ac:dyDescent="0.3">
      <c r="B89">
        <v>0.44444444444444442</v>
      </c>
      <c r="C89">
        <v>168.77777777777777</v>
      </c>
      <c r="D89">
        <v>63.888888888888886</v>
      </c>
      <c r="E89">
        <v>38.981481481481481</v>
      </c>
      <c r="F89">
        <v>73.462962962962962</v>
      </c>
      <c r="G89">
        <v>45.851851851851848</v>
      </c>
      <c r="H89">
        <v>57.24074074074074</v>
      </c>
      <c r="I89">
        <v>43.092592592592588</v>
      </c>
    </row>
    <row r="90" spans="2:9" x14ac:dyDescent="0.3">
      <c r="B90">
        <v>0.44444444444444442</v>
      </c>
      <c r="C90">
        <v>168.77777777777777</v>
      </c>
      <c r="D90">
        <v>63.888888888888886</v>
      </c>
      <c r="E90">
        <v>38.981481481481481</v>
      </c>
      <c r="F90">
        <v>73.462962962962962</v>
      </c>
      <c r="G90">
        <v>45.851851851851848</v>
      </c>
      <c r="H90">
        <v>57.24074074074074</v>
      </c>
      <c r="I90">
        <v>43.092592592592588</v>
      </c>
    </row>
    <row r="91" spans="2:9" x14ac:dyDescent="0.3">
      <c r="B91">
        <v>0.44444444444444442</v>
      </c>
      <c r="C91">
        <v>168.77777777777777</v>
      </c>
      <c r="D91">
        <v>63.888888888888886</v>
      </c>
      <c r="E91">
        <v>38.981481481481481</v>
      </c>
      <c r="F91">
        <v>73.462962962962962</v>
      </c>
      <c r="G91">
        <v>45.851851851851848</v>
      </c>
      <c r="H91">
        <v>57.24074074074074</v>
      </c>
      <c r="I91">
        <v>43.092592592592588</v>
      </c>
    </row>
    <row r="92" spans="2:9" x14ac:dyDescent="0.3">
      <c r="B92">
        <v>0.44444444444444442</v>
      </c>
      <c r="C92">
        <v>168.77777777777777</v>
      </c>
      <c r="D92">
        <v>63.888888888888886</v>
      </c>
      <c r="E92">
        <v>38.981481481481481</v>
      </c>
      <c r="F92">
        <v>73.462962962962962</v>
      </c>
      <c r="G92">
        <v>45.851851851851848</v>
      </c>
      <c r="H92">
        <v>57.24074074074074</v>
      </c>
      <c r="I92">
        <v>43.092592592592588</v>
      </c>
    </row>
    <row r="93" spans="2:9" x14ac:dyDescent="0.3">
      <c r="B93">
        <v>0.44444444444444442</v>
      </c>
      <c r="C93">
        <v>168.77777777777777</v>
      </c>
      <c r="D93">
        <v>63.888888888888886</v>
      </c>
      <c r="E93">
        <v>38.981481481481481</v>
      </c>
      <c r="F93">
        <v>73.462962962962962</v>
      </c>
      <c r="G93">
        <v>45.851851851851848</v>
      </c>
      <c r="H93">
        <v>57.24074074074074</v>
      </c>
      <c r="I93">
        <v>43.092592592592588</v>
      </c>
    </row>
    <row r="94" spans="2:9" x14ac:dyDescent="0.3">
      <c r="B94">
        <v>0.44444444444444442</v>
      </c>
      <c r="C94">
        <v>168.77777777777777</v>
      </c>
      <c r="D94">
        <v>63.888888888888886</v>
      </c>
      <c r="E94">
        <v>38.981481481481481</v>
      </c>
      <c r="F94">
        <v>73.462962962962962</v>
      </c>
      <c r="G94">
        <v>45.851851851851848</v>
      </c>
      <c r="H94">
        <v>57.24074074074074</v>
      </c>
      <c r="I94">
        <v>43.092592592592588</v>
      </c>
    </row>
    <row r="95" spans="2:9" x14ac:dyDescent="0.3">
      <c r="B95">
        <v>0.44444444444444442</v>
      </c>
      <c r="C95">
        <v>168.77777777777777</v>
      </c>
      <c r="D95">
        <v>63.888888888888886</v>
      </c>
      <c r="E95">
        <v>38.981481481481481</v>
      </c>
      <c r="F95">
        <v>73.462962962962962</v>
      </c>
      <c r="G95">
        <v>45.851851851851848</v>
      </c>
      <c r="H95">
        <v>57.24074074074074</v>
      </c>
      <c r="I95">
        <v>43.092592592592588</v>
      </c>
    </row>
    <row r="96" spans="2:9" x14ac:dyDescent="0.3">
      <c r="B96">
        <v>0.44444444444444442</v>
      </c>
      <c r="C96">
        <v>168.77777777777777</v>
      </c>
      <c r="D96">
        <v>63.888888888888886</v>
      </c>
      <c r="E96">
        <v>38.981481481481481</v>
      </c>
      <c r="F96">
        <v>73.462962962962962</v>
      </c>
      <c r="G96">
        <v>45.851851851851848</v>
      </c>
      <c r="H96">
        <v>57.24074074074074</v>
      </c>
      <c r="I96">
        <v>43.092592592592588</v>
      </c>
    </row>
    <row r="97" spans="1:10" x14ac:dyDescent="0.3">
      <c r="B97">
        <v>0.44444444444444442</v>
      </c>
      <c r="C97">
        <v>168.77777777777777</v>
      </c>
      <c r="D97">
        <v>63.888888888888886</v>
      </c>
      <c r="E97">
        <v>38.981481481481481</v>
      </c>
      <c r="F97">
        <v>73.462962962962962</v>
      </c>
      <c r="G97">
        <v>45.851851851851848</v>
      </c>
      <c r="H97">
        <v>57.24074074074074</v>
      </c>
      <c r="I97">
        <v>43.092592592592588</v>
      </c>
    </row>
    <row r="98" spans="1:10" x14ac:dyDescent="0.3">
      <c r="B98">
        <v>0.44444444444444442</v>
      </c>
      <c r="C98">
        <v>168.77777777777777</v>
      </c>
      <c r="D98">
        <v>63.888888888888886</v>
      </c>
      <c r="E98">
        <v>38.981481481481481</v>
      </c>
      <c r="F98">
        <v>73.462962962962962</v>
      </c>
      <c r="G98">
        <v>45.851851851851848</v>
      </c>
      <c r="H98">
        <v>57.24074074074074</v>
      </c>
      <c r="I98">
        <v>43.092592592592588</v>
      </c>
    </row>
    <row r="99" spans="1:10" x14ac:dyDescent="0.3">
      <c r="B99">
        <v>0.44444444444444442</v>
      </c>
      <c r="C99">
        <v>168.77777777777777</v>
      </c>
      <c r="D99">
        <v>63.888888888888886</v>
      </c>
      <c r="E99">
        <v>38.981481481481481</v>
      </c>
      <c r="F99">
        <v>73.462962962962962</v>
      </c>
      <c r="G99">
        <v>45.851851851851848</v>
      </c>
      <c r="H99">
        <v>57.24074074074074</v>
      </c>
      <c r="I99">
        <v>43.092592592592588</v>
      </c>
    </row>
    <row r="100" spans="1:10" x14ac:dyDescent="0.3">
      <c r="B100">
        <v>0.44444444444444442</v>
      </c>
      <c r="C100">
        <v>168.77777777777777</v>
      </c>
      <c r="D100">
        <v>63.888888888888886</v>
      </c>
      <c r="E100">
        <v>38.981481481481481</v>
      </c>
      <c r="F100">
        <v>73.462962962962962</v>
      </c>
      <c r="G100">
        <v>45.851851851851848</v>
      </c>
      <c r="H100">
        <v>57.24074074074074</v>
      </c>
      <c r="I100">
        <v>43.092592592592588</v>
      </c>
    </row>
    <row r="101" spans="1:10" x14ac:dyDescent="0.3">
      <c r="B101">
        <v>0.44444444444444442</v>
      </c>
      <c r="C101">
        <v>168.77777777777777</v>
      </c>
      <c r="D101">
        <v>63.888888888888886</v>
      </c>
      <c r="E101">
        <v>38.981481481481481</v>
      </c>
      <c r="F101">
        <v>73.462962962962962</v>
      </c>
      <c r="G101">
        <v>45.851851851851848</v>
      </c>
      <c r="H101">
        <v>57.24074074074074</v>
      </c>
      <c r="I101">
        <v>43.092592592592588</v>
      </c>
    </row>
    <row r="102" spans="1:10" x14ac:dyDescent="0.3">
      <c r="B102">
        <v>0.44444444444444442</v>
      </c>
      <c r="C102">
        <v>168.77777777777777</v>
      </c>
      <c r="D102">
        <v>63.888888888888886</v>
      </c>
      <c r="E102">
        <v>38.981481481481481</v>
      </c>
      <c r="F102">
        <v>73.462962962962962</v>
      </c>
      <c r="G102">
        <v>45.851851851851848</v>
      </c>
      <c r="H102">
        <v>57.24074074074074</v>
      </c>
      <c r="I102">
        <v>43.092592592592588</v>
      </c>
    </row>
    <row r="105" spans="1:10" x14ac:dyDescent="0.3">
      <c r="A105" s="5" t="s">
        <v>18</v>
      </c>
      <c r="B105" s="5"/>
      <c r="C105" s="5"/>
      <c r="D105" s="5"/>
      <c r="E105" s="5"/>
      <c r="F105" s="5"/>
      <c r="G105" s="5"/>
      <c r="H105" s="5"/>
      <c r="I105" s="5"/>
      <c r="J105" s="5"/>
    </row>
    <row r="107" spans="1:10" x14ac:dyDescent="0.3">
      <c r="B107">
        <f>B3-B76</f>
        <v>-0.44444444444444442</v>
      </c>
      <c r="C107">
        <f t="shared" ref="C107:I107" si="1">C3-C76</f>
        <v>-9.7777777777777715</v>
      </c>
      <c r="D107">
        <f t="shared" si="1"/>
        <v>-14.888888888888886</v>
      </c>
      <c r="E107">
        <f t="shared" si="1"/>
        <v>-2.981481481481481</v>
      </c>
      <c r="F107">
        <f t="shared" si="1"/>
        <v>-5.4629629629629619</v>
      </c>
      <c r="G107">
        <f t="shared" si="1"/>
        <v>-3.8518518518518476</v>
      </c>
      <c r="H107">
        <f t="shared" si="1"/>
        <v>-0.24074074074074048</v>
      </c>
      <c r="I107">
        <f t="shared" si="1"/>
        <v>-3.0925925925925881</v>
      </c>
    </row>
    <row r="108" spans="1:10" x14ac:dyDescent="0.3">
      <c r="B108">
        <f t="shared" ref="B108:I108" si="2">B4-B77</f>
        <v>0.55555555555555558</v>
      </c>
      <c r="C108">
        <f t="shared" si="2"/>
        <v>-4.7777777777777715</v>
      </c>
      <c r="D108">
        <f t="shared" si="2"/>
        <v>-1.8888888888888857</v>
      </c>
      <c r="E108">
        <f t="shared" si="2"/>
        <v>1.8518518518519045E-2</v>
      </c>
      <c r="F108">
        <f t="shared" si="2"/>
        <v>-0.46296296296296191</v>
      </c>
      <c r="G108">
        <f t="shared" si="2"/>
        <v>-1.8518518518518476</v>
      </c>
      <c r="H108">
        <f t="shared" si="2"/>
        <v>-2.2407407407407405</v>
      </c>
      <c r="I108">
        <f t="shared" si="2"/>
        <v>0.90740740740741188</v>
      </c>
    </row>
    <row r="109" spans="1:10" x14ac:dyDescent="0.3">
      <c r="B109">
        <f t="shared" ref="B109:I109" si="3">B5-B78</f>
        <v>-0.44444444444444442</v>
      </c>
      <c r="C109">
        <f t="shared" si="3"/>
        <v>3.2222222222222285</v>
      </c>
      <c r="D109">
        <f t="shared" si="3"/>
        <v>1.1111111111111143</v>
      </c>
      <c r="E109">
        <f t="shared" si="3"/>
        <v>-0.98148148148148096</v>
      </c>
      <c r="F109">
        <f t="shared" si="3"/>
        <v>1.5370370370370381</v>
      </c>
      <c r="G109">
        <f t="shared" si="3"/>
        <v>2.1481481481481524</v>
      </c>
      <c r="H109">
        <f t="shared" si="3"/>
        <v>0.75925925925925952</v>
      </c>
      <c r="I109">
        <f t="shared" si="3"/>
        <v>0.90740740740741188</v>
      </c>
    </row>
    <row r="110" spans="1:10" x14ac:dyDescent="0.3">
      <c r="B110">
        <f t="shared" ref="B110:I110" si="4">B6-B79</f>
        <v>-0.44444444444444442</v>
      </c>
      <c r="C110">
        <f t="shared" si="4"/>
        <v>-1.7777777777777715</v>
      </c>
      <c r="D110">
        <f t="shared" si="4"/>
        <v>-11.888888888888886</v>
      </c>
      <c r="E110">
        <f t="shared" si="4"/>
        <v>-1.981481481481481</v>
      </c>
      <c r="F110">
        <f t="shared" si="4"/>
        <v>-0.46296296296296191</v>
      </c>
      <c r="G110">
        <f t="shared" si="4"/>
        <v>-4.3518518518518476</v>
      </c>
      <c r="H110">
        <f t="shared" si="4"/>
        <v>0.75925925925925952</v>
      </c>
      <c r="I110">
        <f t="shared" si="4"/>
        <v>0.90740740740741188</v>
      </c>
    </row>
    <row r="111" spans="1:10" x14ac:dyDescent="0.3">
      <c r="B111">
        <f t="shared" ref="B111:I111" si="5">B7-B80</f>
        <v>-0.44444444444444442</v>
      </c>
      <c r="C111">
        <f t="shared" si="5"/>
        <v>-4.7777777777777715</v>
      </c>
      <c r="D111">
        <f t="shared" si="5"/>
        <v>-12.888888888888886</v>
      </c>
      <c r="E111">
        <f t="shared" si="5"/>
        <v>-2.981481481481481</v>
      </c>
      <c r="F111">
        <f t="shared" si="5"/>
        <v>-2.4629629629629619</v>
      </c>
      <c r="G111">
        <f t="shared" si="5"/>
        <v>-1.3518518518518476</v>
      </c>
      <c r="H111">
        <f t="shared" si="5"/>
        <v>-3.2407407407407405</v>
      </c>
      <c r="I111">
        <f t="shared" si="5"/>
        <v>-3.0925925925925881</v>
      </c>
    </row>
    <row r="112" spans="1:10" x14ac:dyDescent="0.3">
      <c r="B112">
        <f t="shared" ref="B112:I112" si="6">B8-B81</f>
        <v>-0.44444444444444442</v>
      </c>
      <c r="C112">
        <f t="shared" si="6"/>
        <v>-7.7777777777777715</v>
      </c>
      <c r="D112">
        <f t="shared" si="6"/>
        <v>3.1111111111111143</v>
      </c>
      <c r="E112">
        <f t="shared" si="6"/>
        <v>-0.98148148148148096</v>
      </c>
      <c r="F112">
        <f t="shared" si="6"/>
        <v>-2.4629629629629619</v>
      </c>
      <c r="G112">
        <f t="shared" si="6"/>
        <v>-1.8518518518518476</v>
      </c>
      <c r="H112">
        <f t="shared" si="6"/>
        <v>-1.2407407407407405</v>
      </c>
      <c r="I112">
        <f t="shared" si="6"/>
        <v>-1.0925925925925881</v>
      </c>
    </row>
    <row r="113" spans="2:9" x14ac:dyDescent="0.3">
      <c r="B113">
        <f t="shared" ref="B113:I113" si="7">B9-B82</f>
        <v>-0.44444444444444442</v>
      </c>
      <c r="C113">
        <f t="shared" si="7"/>
        <v>-0.77777777777777146</v>
      </c>
      <c r="D113">
        <f t="shared" si="7"/>
        <v>-15.888888888888886</v>
      </c>
      <c r="E113">
        <f t="shared" si="7"/>
        <v>1.8518518518519045E-2</v>
      </c>
      <c r="F113">
        <f t="shared" si="7"/>
        <v>-0.96296296296296191</v>
      </c>
      <c r="G113">
        <f t="shared" si="7"/>
        <v>-4.8518518518518476</v>
      </c>
      <c r="H113">
        <f t="shared" si="7"/>
        <v>-2.7407407407407405</v>
      </c>
      <c r="I113">
        <f t="shared" si="7"/>
        <v>-9.2592592592588119E-2</v>
      </c>
    </row>
    <row r="114" spans="2:9" x14ac:dyDescent="0.3">
      <c r="B114">
        <f t="shared" ref="B114:I114" si="8">B10-B83</f>
        <v>0.55555555555555558</v>
      </c>
      <c r="C114">
        <f t="shared" si="8"/>
        <v>12.222222222222229</v>
      </c>
      <c r="D114">
        <f t="shared" si="8"/>
        <v>10.111111111111114</v>
      </c>
      <c r="E114">
        <f t="shared" si="8"/>
        <v>4.018518518518519</v>
      </c>
      <c r="F114">
        <f t="shared" si="8"/>
        <v>0.53703703703703809</v>
      </c>
      <c r="G114">
        <f t="shared" si="8"/>
        <v>4.1481481481481524</v>
      </c>
      <c r="H114">
        <f t="shared" si="8"/>
        <v>2.7592592592592595</v>
      </c>
      <c r="I114">
        <f t="shared" si="8"/>
        <v>3.9074074074074119</v>
      </c>
    </row>
    <row r="115" spans="2:9" x14ac:dyDescent="0.3">
      <c r="B115">
        <f t="shared" ref="B115:I115" si="9">B11-B84</f>
        <v>0.55555555555555558</v>
      </c>
      <c r="C115">
        <f t="shared" si="9"/>
        <v>14.222222222222229</v>
      </c>
      <c r="D115">
        <f t="shared" si="9"/>
        <v>10.111111111111114</v>
      </c>
      <c r="E115">
        <f t="shared" si="9"/>
        <v>2.018518518518519</v>
      </c>
      <c r="F115">
        <f t="shared" si="9"/>
        <v>5.5370370370370381</v>
      </c>
      <c r="G115">
        <f t="shared" si="9"/>
        <v>1.6481481481481524</v>
      </c>
      <c r="H115">
        <f t="shared" si="9"/>
        <v>2.2592592592592595</v>
      </c>
      <c r="I115">
        <f t="shared" si="9"/>
        <v>3.9074074074074119</v>
      </c>
    </row>
    <row r="116" spans="2:9" x14ac:dyDescent="0.3">
      <c r="B116">
        <f t="shared" ref="B116:I116" si="10">B12-B85</f>
        <v>-0.44444444444444442</v>
      </c>
      <c r="C116">
        <f t="shared" si="10"/>
        <v>-10.777777777777771</v>
      </c>
      <c r="D116">
        <f t="shared" si="10"/>
        <v>-13.888888888888886</v>
      </c>
      <c r="E116">
        <f t="shared" si="10"/>
        <v>-2.981481481481481</v>
      </c>
      <c r="F116">
        <f t="shared" si="10"/>
        <v>-4.9629629629629619</v>
      </c>
      <c r="G116">
        <f t="shared" si="10"/>
        <v>-1.8518518518518476</v>
      </c>
      <c r="H116">
        <f t="shared" si="10"/>
        <v>-0.24074074074074048</v>
      </c>
      <c r="I116">
        <f t="shared" si="10"/>
        <v>-2.0925925925925881</v>
      </c>
    </row>
    <row r="117" spans="2:9" x14ac:dyDescent="0.3">
      <c r="B117">
        <f t="shared" ref="B117:I117" si="11">B13-B86</f>
        <v>-0.44444444444444442</v>
      </c>
      <c r="C117">
        <f t="shared" si="11"/>
        <v>-12.777777777777771</v>
      </c>
      <c r="D117">
        <f t="shared" si="11"/>
        <v>1.1111111111111143</v>
      </c>
      <c r="E117">
        <f t="shared" si="11"/>
        <v>-2.981481481481481</v>
      </c>
      <c r="F117">
        <f t="shared" si="11"/>
        <v>-5.4629629629629619</v>
      </c>
      <c r="G117">
        <f t="shared" si="11"/>
        <v>0.14814814814815236</v>
      </c>
      <c r="H117">
        <f t="shared" si="11"/>
        <v>0.75925925925925952</v>
      </c>
      <c r="I117">
        <f t="shared" si="11"/>
        <v>-2.0925925925925881</v>
      </c>
    </row>
    <row r="118" spans="2:9" x14ac:dyDescent="0.3">
      <c r="B118">
        <f t="shared" ref="B118:I118" si="12">B14-B87</f>
        <v>0.55555555555555558</v>
      </c>
      <c r="C118">
        <f t="shared" si="12"/>
        <v>4.2222222222222285</v>
      </c>
      <c r="D118">
        <f t="shared" si="12"/>
        <v>0.11111111111111427</v>
      </c>
      <c r="E118">
        <f t="shared" si="12"/>
        <v>1.018518518518519</v>
      </c>
      <c r="F118">
        <f t="shared" si="12"/>
        <v>5.5370370370370381</v>
      </c>
      <c r="G118">
        <f t="shared" si="12"/>
        <v>2.1481481481481524</v>
      </c>
      <c r="H118">
        <f t="shared" si="12"/>
        <v>-0.74074074074074048</v>
      </c>
      <c r="I118">
        <f t="shared" si="12"/>
        <v>3.9074074074074119</v>
      </c>
    </row>
    <row r="119" spans="2:9" x14ac:dyDescent="0.3">
      <c r="B119">
        <f t="shared" ref="B119:I119" si="13">B15-B88</f>
        <v>-0.44444444444444442</v>
      </c>
      <c r="C119">
        <f t="shared" si="13"/>
        <v>-10.777777777777771</v>
      </c>
      <c r="D119">
        <f t="shared" si="13"/>
        <v>-20.888888888888886</v>
      </c>
      <c r="E119">
        <f t="shared" si="13"/>
        <v>-2.981481481481481</v>
      </c>
      <c r="F119">
        <f t="shared" si="13"/>
        <v>-5.4629629629629619</v>
      </c>
      <c r="G119">
        <f t="shared" si="13"/>
        <v>-2.8518518518518476</v>
      </c>
      <c r="H119">
        <f t="shared" si="13"/>
        <v>-2.2407407407407405</v>
      </c>
      <c r="I119">
        <f t="shared" si="13"/>
        <v>-4.0925925925925881</v>
      </c>
    </row>
    <row r="120" spans="2:9" x14ac:dyDescent="0.3">
      <c r="B120">
        <f t="shared" ref="B120:I120" si="14">B16-B89</f>
        <v>0.55555555555555558</v>
      </c>
      <c r="C120">
        <f t="shared" si="14"/>
        <v>9.2222222222222285</v>
      </c>
      <c r="D120">
        <f t="shared" si="14"/>
        <v>10.111111111111114</v>
      </c>
      <c r="E120">
        <f t="shared" si="14"/>
        <v>3.018518518518519</v>
      </c>
      <c r="F120">
        <f t="shared" si="14"/>
        <v>1.5370370370370381</v>
      </c>
      <c r="G120">
        <f t="shared" si="14"/>
        <v>4.1481481481481524</v>
      </c>
      <c r="H120">
        <f t="shared" si="14"/>
        <v>1.7592592592592595</v>
      </c>
      <c r="I120">
        <f t="shared" si="14"/>
        <v>1.9074074074074119</v>
      </c>
    </row>
    <row r="121" spans="2:9" x14ac:dyDescent="0.3">
      <c r="B121">
        <f t="shared" ref="B121:I121" si="15">B17-B90</f>
        <v>0.55555555555555558</v>
      </c>
      <c r="C121">
        <f t="shared" si="15"/>
        <v>12.222222222222229</v>
      </c>
      <c r="D121">
        <f t="shared" si="15"/>
        <v>12.111111111111114</v>
      </c>
      <c r="E121">
        <f t="shared" si="15"/>
        <v>4.018518518518519</v>
      </c>
      <c r="F121">
        <f t="shared" si="15"/>
        <v>9.5370370370370381</v>
      </c>
      <c r="G121">
        <f t="shared" si="15"/>
        <v>5.1481481481481524</v>
      </c>
      <c r="H121">
        <f t="shared" si="15"/>
        <v>-0.24074074074074048</v>
      </c>
      <c r="I121">
        <f t="shared" si="15"/>
        <v>-9.2592592592588119E-2</v>
      </c>
    </row>
    <row r="122" spans="2:9" x14ac:dyDescent="0.3">
      <c r="B122">
        <f t="shared" ref="B122:I122" si="16">B18-B91</f>
        <v>0.55555555555555558</v>
      </c>
      <c r="C122">
        <f t="shared" si="16"/>
        <v>13.222222222222229</v>
      </c>
      <c r="D122">
        <f t="shared" si="16"/>
        <v>27.111111111111114</v>
      </c>
      <c r="E122">
        <f t="shared" si="16"/>
        <v>2.018518518518519</v>
      </c>
      <c r="F122">
        <f t="shared" si="16"/>
        <v>9.5370370370370381</v>
      </c>
      <c r="G122">
        <f t="shared" si="16"/>
        <v>7.1481481481481524</v>
      </c>
      <c r="H122">
        <f t="shared" si="16"/>
        <v>1.7592592592592595</v>
      </c>
      <c r="I122">
        <f t="shared" si="16"/>
        <v>-9.2592592592588119E-2</v>
      </c>
    </row>
    <row r="123" spans="2:9" x14ac:dyDescent="0.3">
      <c r="B123">
        <f t="shared" ref="B123:I123" si="17">B19-B92</f>
        <v>0.55555555555555558</v>
      </c>
      <c r="C123">
        <f t="shared" si="17"/>
        <v>7.2222222222222285</v>
      </c>
      <c r="D123">
        <f t="shared" si="17"/>
        <v>9.1111111111111143</v>
      </c>
      <c r="E123">
        <f t="shared" si="17"/>
        <v>3.018518518518519</v>
      </c>
      <c r="F123">
        <f t="shared" si="17"/>
        <v>4.5370370370370381</v>
      </c>
      <c r="G123">
        <f t="shared" si="17"/>
        <v>2.1481481481481524</v>
      </c>
      <c r="H123">
        <f t="shared" si="17"/>
        <v>0.75925925925925952</v>
      </c>
      <c r="I123">
        <f t="shared" si="17"/>
        <v>1.9074074074074119</v>
      </c>
    </row>
    <row r="124" spans="2:9" x14ac:dyDescent="0.3">
      <c r="B124">
        <f t="shared" ref="B124:I124" si="18">B20-B93</f>
        <v>-0.44444444444444442</v>
      </c>
      <c r="C124">
        <f t="shared" si="18"/>
        <v>-6.7777777777777715</v>
      </c>
      <c r="D124">
        <f t="shared" si="18"/>
        <v>4.1111111111111143</v>
      </c>
      <c r="E124">
        <f t="shared" si="18"/>
        <v>1.8518518518519045E-2</v>
      </c>
      <c r="F124">
        <f t="shared" si="18"/>
        <v>-1.4629629629629619</v>
      </c>
      <c r="G124">
        <f t="shared" si="18"/>
        <v>-1.8518518518518476</v>
      </c>
      <c r="H124">
        <f t="shared" si="18"/>
        <v>1.7592592592592595</v>
      </c>
      <c r="I124">
        <f t="shared" si="18"/>
        <v>-1.0925925925925881</v>
      </c>
    </row>
    <row r="125" spans="2:9" x14ac:dyDescent="0.3">
      <c r="B125">
        <f t="shared" ref="B125:I125" si="19">B21-B94</f>
        <v>-0.44444444444444442</v>
      </c>
      <c r="C125">
        <f t="shared" si="19"/>
        <v>-12.777777777777771</v>
      </c>
      <c r="D125">
        <f t="shared" si="19"/>
        <v>-11.888888888888886</v>
      </c>
      <c r="E125">
        <f t="shared" si="19"/>
        <v>-2.981481481481481</v>
      </c>
      <c r="F125">
        <f t="shared" si="19"/>
        <v>-6.4629629629629619</v>
      </c>
      <c r="G125">
        <f t="shared" si="19"/>
        <v>-9.8518518518518476</v>
      </c>
      <c r="H125">
        <f t="shared" si="19"/>
        <v>-1.2407407407407405</v>
      </c>
      <c r="I125">
        <f t="shared" si="19"/>
        <v>-2.0925925925925881</v>
      </c>
    </row>
    <row r="126" spans="2:9" x14ac:dyDescent="0.3">
      <c r="B126">
        <f t="shared" ref="B126:I126" si="20">B22-B95</f>
        <v>-0.44444444444444442</v>
      </c>
      <c r="C126">
        <f t="shared" si="20"/>
        <v>-16.777777777777771</v>
      </c>
      <c r="D126">
        <f t="shared" si="20"/>
        <v>-18.888888888888886</v>
      </c>
      <c r="E126">
        <f t="shared" si="20"/>
        <v>-4.981481481481481</v>
      </c>
      <c r="F126">
        <f t="shared" si="20"/>
        <v>-7.4629629629629619</v>
      </c>
      <c r="G126">
        <f t="shared" si="20"/>
        <v>-5.8518518518518476</v>
      </c>
      <c r="H126">
        <f t="shared" si="20"/>
        <v>-2.2407407407407405</v>
      </c>
      <c r="I126">
        <f t="shared" si="20"/>
        <v>-5.0925925925925881</v>
      </c>
    </row>
    <row r="127" spans="2:9" x14ac:dyDescent="0.3">
      <c r="B127">
        <f t="shared" ref="B127:I127" si="21">B23-B96</f>
        <v>0.55555555555555558</v>
      </c>
      <c r="C127">
        <f t="shared" si="21"/>
        <v>12.222222222222229</v>
      </c>
      <c r="D127">
        <f t="shared" si="21"/>
        <v>16.111111111111114</v>
      </c>
      <c r="E127">
        <f t="shared" si="21"/>
        <v>4.018518518518519</v>
      </c>
      <c r="F127">
        <f t="shared" si="21"/>
        <v>2.5370370370370381</v>
      </c>
      <c r="G127">
        <f t="shared" si="21"/>
        <v>3.1481481481481524</v>
      </c>
      <c r="H127">
        <f t="shared" si="21"/>
        <v>-0.24074074074074048</v>
      </c>
      <c r="I127">
        <f t="shared" si="21"/>
        <v>2.9074074074074119</v>
      </c>
    </row>
    <row r="128" spans="2:9" x14ac:dyDescent="0.3">
      <c r="B128">
        <f t="shared" ref="B128:I128" si="22">B24-B97</f>
        <v>0.55555555555555558</v>
      </c>
      <c r="C128">
        <f t="shared" si="22"/>
        <v>4.2222222222222285</v>
      </c>
      <c r="D128">
        <f t="shared" si="22"/>
        <v>5.1111111111111143</v>
      </c>
      <c r="E128">
        <f t="shared" si="22"/>
        <v>2.018518518518519</v>
      </c>
      <c r="F128">
        <f t="shared" si="22"/>
        <v>0.53703703703703809</v>
      </c>
      <c r="G128">
        <f t="shared" si="22"/>
        <v>2.1481481481481524</v>
      </c>
      <c r="H128">
        <f t="shared" si="22"/>
        <v>-1.2407407407407405</v>
      </c>
      <c r="I128">
        <f t="shared" si="22"/>
        <v>0.90740740740741188</v>
      </c>
    </row>
    <row r="129" spans="1:28" x14ac:dyDescent="0.3">
      <c r="B129">
        <f>B25-B98</f>
        <v>-0.44444444444444442</v>
      </c>
      <c r="C129">
        <f t="shared" ref="C129:I129" si="23">C25-C98</f>
        <v>-13.777777777777771</v>
      </c>
      <c r="D129">
        <f t="shared" si="23"/>
        <v>-10.888888888888886</v>
      </c>
      <c r="E129">
        <f t="shared" si="23"/>
        <v>-2.981481481481481</v>
      </c>
      <c r="F129">
        <f t="shared" si="23"/>
        <v>-6.4629629629629619</v>
      </c>
      <c r="G129">
        <f t="shared" si="23"/>
        <v>-2.8518518518518476</v>
      </c>
      <c r="H129">
        <f t="shared" si="23"/>
        <v>-1.2407407407407405</v>
      </c>
      <c r="I129">
        <f t="shared" si="23"/>
        <v>-5.0925925925925881</v>
      </c>
    </row>
    <row r="130" spans="1:28" x14ac:dyDescent="0.3">
      <c r="B130">
        <f t="shared" ref="B130:I130" si="24">B26-B99</f>
        <v>0.55555555555555558</v>
      </c>
      <c r="C130">
        <f t="shared" si="24"/>
        <v>20.222222222222229</v>
      </c>
      <c r="D130">
        <f t="shared" si="24"/>
        <v>23.111111111111114</v>
      </c>
      <c r="E130">
        <f t="shared" si="24"/>
        <v>6.018518518518519</v>
      </c>
      <c r="F130">
        <f t="shared" si="24"/>
        <v>8.5370370370370381</v>
      </c>
      <c r="G130">
        <f t="shared" si="24"/>
        <v>7.1481481481481524</v>
      </c>
      <c r="H130">
        <f t="shared" si="24"/>
        <v>3.7592592592592595</v>
      </c>
      <c r="I130">
        <f t="shared" si="24"/>
        <v>8.9074074074074119</v>
      </c>
    </row>
    <row r="131" spans="1:28" x14ac:dyDescent="0.3">
      <c r="B131">
        <f t="shared" ref="B131:I131" si="25">B27-B100</f>
        <v>-0.44444444444444442</v>
      </c>
      <c r="C131">
        <f t="shared" si="25"/>
        <v>1.2222222222222285</v>
      </c>
      <c r="D131">
        <f t="shared" si="25"/>
        <v>6.1111111111111143</v>
      </c>
      <c r="E131">
        <f t="shared" si="25"/>
        <v>-0.98148148148148096</v>
      </c>
      <c r="F131">
        <f t="shared" si="25"/>
        <v>-0.46296296296296191</v>
      </c>
      <c r="G131">
        <f t="shared" si="25"/>
        <v>-0.85185185185184764</v>
      </c>
      <c r="H131">
        <f t="shared" si="25"/>
        <v>-1.2407407407407405</v>
      </c>
      <c r="I131">
        <f t="shared" si="25"/>
        <v>-9.2592592592588119E-2</v>
      </c>
    </row>
    <row r="132" spans="1:28" x14ac:dyDescent="0.3">
      <c r="B132">
        <f>B28-B101</f>
        <v>0.55555555555555558</v>
      </c>
      <c r="C132">
        <f t="shared" ref="C132:I132" si="26">C28-C101</f>
        <v>1.2222222222222285</v>
      </c>
      <c r="D132">
        <f t="shared" si="26"/>
        <v>3.1111111111111143</v>
      </c>
      <c r="E132">
        <f t="shared" si="26"/>
        <v>1.018518518518519</v>
      </c>
      <c r="F132">
        <f t="shared" si="26"/>
        <v>3.5370370370370381</v>
      </c>
      <c r="G132">
        <f t="shared" si="26"/>
        <v>0.64814814814815236</v>
      </c>
      <c r="H132">
        <f t="shared" si="26"/>
        <v>0.75925925925925952</v>
      </c>
      <c r="I132">
        <f t="shared" si="26"/>
        <v>1.4074074074074119</v>
      </c>
    </row>
    <row r="133" spans="1:28" x14ac:dyDescent="0.3">
      <c r="B133">
        <f t="shared" ref="B133:I133" si="27">B29-B102</f>
        <v>-0.44444444444444442</v>
      </c>
      <c r="C133">
        <f t="shared" si="27"/>
        <v>-0.77777777777777146</v>
      </c>
      <c r="D133">
        <f t="shared" si="27"/>
        <v>-7.8888888888888857</v>
      </c>
      <c r="E133">
        <f t="shared" si="27"/>
        <v>-1.481481481481481</v>
      </c>
      <c r="F133">
        <f t="shared" si="27"/>
        <v>-2.9629629629629619</v>
      </c>
      <c r="G133">
        <f t="shared" si="27"/>
        <v>2.1481481481481524</v>
      </c>
      <c r="H133">
        <f t="shared" si="27"/>
        <v>2.7592592592592595</v>
      </c>
      <c r="I133">
        <f t="shared" si="27"/>
        <v>-3.0925925925925881</v>
      </c>
    </row>
    <row r="135" spans="1:28" x14ac:dyDescent="0.3">
      <c r="A135" s="5" t="s">
        <v>19</v>
      </c>
      <c r="B135" s="5"/>
      <c r="C135" s="5"/>
      <c r="D135" s="5"/>
      <c r="E135" s="5"/>
      <c r="F135" s="5"/>
      <c r="G135" s="5"/>
      <c r="H135" s="5"/>
      <c r="I135" s="5"/>
      <c r="J135" s="5"/>
    </row>
    <row r="137" spans="1:28" x14ac:dyDescent="0.3">
      <c r="B137">
        <f t="array" ref="B137:AB144">TRANSPOSE(B107:I133)</f>
        <v>-0.44444444444444442</v>
      </c>
      <c r="C137">
        <v>0.55555555555555558</v>
      </c>
      <c r="D137">
        <v>-0.44444444444444442</v>
      </c>
      <c r="E137">
        <v>-0.44444444444444442</v>
      </c>
      <c r="F137">
        <v>-0.44444444444444442</v>
      </c>
      <c r="G137">
        <v>-0.44444444444444442</v>
      </c>
      <c r="H137">
        <v>-0.44444444444444442</v>
      </c>
      <c r="I137">
        <v>0.55555555555555558</v>
      </c>
      <c r="J137">
        <v>0.55555555555555558</v>
      </c>
      <c r="K137">
        <v>-0.44444444444444442</v>
      </c>
      <c r="L137">
        <v>-0.44444444444444442</v>
      </c>
      <c r="M137">
        <v>0.55555555555555558</v>
      </c>
      <c r="N137">
        <v>-0.44444444444444442</v>
      </c>
      <c r="O137">
        <v>0.55555555555555558</v>
      </c>
      <c r="P137">
        <v>0.55555555555555558</v>
      </c>
      <c r="Q137">
        <v>0.55555555555555558</v>
      </c>
      <c r="R137">
        <v>0.55555555555555558</v>
      </c>
      <c r="S137">
        <v>-0.44444444444444442</v>
      </c>
      <c r="T137">
        <v>-0.44444444444444442</v>
      </c>
      <c r="U137">
        <v>-0.44444444444444442</v>
      </c>
      <c r="V137">
        <v>0.55555555555555558</v>
      </c>
      <c r="W137">
        <v>0.55555555555555558</v>
      </c>
      <c r="X137">
        <v>-0.44444444444444442</v>
      </c>
      <c r="Y137">
        <v>0.55555555555555558</v>
      </c>
      <c r="Z137">
        <v>-0.44444444444444442</v>
      </c>
      <c r="AA137">
        <v>0.55555555555555558</v>
      </c>
      <c r="AB137">
        <v>-0.44444444444444442</v>
      </c>
    </row>
    <row r="138" spans="1:28" x14ac:dyDescent="0.3">
      <c r="B138">
        <v>-9.7777777777777715</v>
      </c>
      <c r="C138">
        <v>-4.7777777777777715</v>
      </c>
      <c r="D138">
        <v>3.2222222222222285</v>
      </c>
      <c r="E138">
        <v>-1.7777777777777715</v>
      </c>
      <c r="F138">
        <v>-4.7777777777777715</v>
      </c>
      <c r="G138">
        <v>-7.7777777777777715</v>
      </c>
      <c r="H138">
        <v>-0.77777777777777146</v>
      </c>
      <c r="I138">
        <v>12.222222222222229</v>
      </c>
      <c r="J138">
        <v>14.222222222222229</v>
      </c>
      <c r="K138">
        <v>-10.777777777777771</v>
      </c>
      <c r="L138">
        <v>-12.777777777777771</v>
      </c>
      <c r="M138">
        <v>4.2222222222222285</v>
      </c>
      <c r="N138">
        <v>-10.777777777777771</v>
      </c>
      <c r="O138">
        <v>9.2222222222222285</v>
      </c>
      <c r="P138">
        <v>12.222222222222229</v>
      </c>
      <c r="Q138">
        <v>13.222222222222229</v>
      </c>
      <c r="R138">
        <v>7.2222222222222285</v>
      </c>
      <c r="S138">
        <v>-6.7777777777777715</v>
      </c>
      <c r="T138">
        <v>-12.777777777777771</v>
      </c>
      <c r="U138">
        <v>-16.777777777777771</v>
      </c>
      <c r="V138">
        <v>12.222222222222229</v>
      </c>
      <c r="W138">
        <v>4.2222222222222285</v>
      </c>
      <c r="X138">
        <v>-13.777777777777771</v>
      </c>
      <c r="Y138">
        <v>20.222222222222229</v>
      </c>
      <c r="Z138">
        <v>1.2222222222222285</v>
      </c>
      <c r="AA138">
        <v>1.2222222222222285</v>
      </c>
      <c r="AB138">
        <v>-0.77777777777777146</v>
      </c>
    </row>
    <row r="139" spans="1:28" x14ac:dyDescent="0.3">
      <c r="B139">
        <v>-14.888888888888886</v>
      </c>
      <c r="C139">
        <v>-1.8888888888888857</v>
      </c>
      <c r="D139">
        <v>1.1111111111111143</v>
      </c>
      <c r="E139">
        <v>-11.888888888888886</v>
      </c>
      <c r="F139">
        <v>-12.888888888888886</v>
      </c>
      <c r="G139">
        <v>3.1111111111111143</v>
      </c>
      <c r="H139">
        <v>-15.888888888888886</v>
      </c>
      <c r="I139">
        <v>10.111111111111114</v>
      </c>
      <c r="J139">
        <v>10.111111111111114</v>
      </c>
      <c r="K139">
        <v>-13.888888888888886</v>
      </c>
      <c r="L139">
        <v>1.1111111111111143</v>
      </c>
      <c r="M139">
        <v>0.11111111111111427</v>
      </c>
      <c r="N139">
        <v>-20.888888888888886</v>
      </c>
      <c r="O139">
        <v>10.111111111111114</v>
      </c>
      <c r="P139">
        <v>12.111111111111114</v>
      </c>
      <c r="Q139">
        <v>27.111111111111114</v>
      </c>
      <c r="R139">
        <v>9.1111111111111143</v>
      </c>
      <c r="S139">
        <v>4.1111111111111143</v>
      </c>
      <c r="T139">
        <v>-11.888888888888886</v>
      </c>
      <c r="U139">
        <v>-18.888888888888886</v>
      </c>
      <c r="V139">
        <v>16.111111111111114</v>
      </c>
      <c r="W139">
        <v>5.1111111111111143</v>
      </c>
      <c r="X139">
        <v>-10.888888888888886</v>
      </c>
      <c r="Y139">
        <v>23.111111111111114</v>
      </c>
      <c r="Z139">
        <v>6.1111111111111143</v>
      </c>
      <c r="AA139">
        <v>3.1111111111111143</v>
      </c>
      <c r="AB139">
        <v>-7.8888888888888857</v>
      </c>
    </row>
    <row r="140" spans="1:28" x14ac:dyDescent="0.3">
      <c r="B140">
        <v>-2.981481481481481</v>
      </c>
      <c r="C140">
        <v>1.8518518518519045E-2</v>
      </c>
      <c r="D140">
        <v>-0.98148148148148096</v>
      </c>
      <c r="E140">
        <v>-1.981481481481481</v>
      </c>
      <c r="F140">
        <v>-2.981481481481481</v>
      </c>
      <c r="G140">
        <v>-0.98148148148148096</v>
      </c>
      <c r="H140">
        <v>1.8518518518519045E-2</v>
      </c>
      <c r="I140">
        <v>4.018518518518519</v>
      </c>
      <c r="J140">
        <v>2.018518518518519</v>
      </c>
      <c r="K140">
        <v>-2.981481481481481</v>
      </c>
      <c r="L140">
        <v>-2.981481481481481</v>
      </c>
      <c r="M140">
        <v>1.018518518518519</v>
      </c>
      <c r="N140">
        <v>-2.981481481481481</v>
      </c>
      <c r="O140">
        <v>3.018518518518519</v>
      </c>
      <c r="P140">
        <v>4.018518518518519</v>
      </c>
      <c r="Q140">
        <v>2.018518518518519</v>
      </c>
      <c r="R140">
        <v>3.018518518518519</v>
      </c>
      <c r="S140">
        <v>1.8518518518519045E-2</v>
      </c>
      <c r="T140">
        <v>-2.981481481481481</v>
      </c>
      <c r="U140">
        <v>-4.981481481481481</v>
      </c>
      <c r="V140">
        <v>4.018518518518519</v>
      </c>
      <c r="W140">
        <v>2.018518518518519</v>
      </c>
      <c r="X140">
        <v>-2.981481481481481</v>
      </c>
      <c r="Y140">
        <v>6.018518518518519</v>
      </c>
      <c r="Z140">
        <v>-0.98148148148148096</v>
      </c>
      <c r="AA140">
        <v>1.018518518518519</v>
      </c>
      <c r="AB140">
        <v>-1.481481481481481</v>
      </c>
    </row>
    <row r="141" spans="1:28" x14ac:dyDescent="0.3">
      <c r="B141">
        <v>-5.4629629629629619</v>
      </c>
      <c r="C141">
        <v>-0.46296296296296191</v>
      </c>
      <c r="D141">
        <v>1.5370370370370381</v>
      </c>
      <c r="E141">
        <v>-0.46296296296296191</v>
      </c>
      <c r="F141">
        <v>-2.4629629629629619</v>
      </c>
      <c r="G141">
        <v>-2.4629629629629619</v>
      </c>
      <c r="H141">
        <v>-0.96296296296296191</v>
      </c>
      <c r="I141">
        <v>0.53703703703703809</v>
      </c>
      <c r="J141">
        <v>5.5370370370370381</v>
      </c>
      <c r="K141">
        <v>-4.9629629629629619</v>
      </c>
      <c r="L141">
        <v>-5.4629629629629619</v>
      </c>
      <c r="M141">
        <v>5.5370370370370381</v>
      </c>
      <c r="N141">
        <v>-5.4629629629629619</v>
      </c>
      <c r="O141">
        <v>1.5370370370370381</v>
      </c>
      <c r="P141">
        <v>9.5370370370370381</v>
      </c>
      <c r="Q141">
        <v>9.5370370370370381</v>
      </c>
      <c r="R141">
        <v>4.5370370370370381</v>
      </c>
      <c r="S141">
        <v>-1.4629629629629619</v>
      </c>
      <c r="T141">
        <v>-6.4629629629629619</v>
      </c>
      <c r="U141">
        <v>-7.4629629629629619</v>
      </c>
      <c r="V141">
        <v>2.5370370370370381</v>
      </c>
      <c r="W141">
        <v>0.53703703703703809</v>
      </c>
      <c r="X141">
        <v>-6.4629629629629619</v>
      </c>
      <c r="Y141">
        <v>8.5370370370370381</v>
      </c>
      <c r="Z141">
        <v>-0.46296296296296191</v>
      </c>
      <c r="AA141">
        <v>3.5370370370370381</v>
      </c>
      <c r="AB141">
        <v>-2.9629629629629619</v>
      </c>
    </row>
    <row r="142" spans="1:28" x14ac:dyDescent="0.3">
      <c r="B142">
        <v>-3.8518518518518476</v>
      </c>
      <c r="C142">
        <v>-1.8518518518518476</v>
      </c>
      <c r="D142">
        <v>2.1481481481481524</v>
      </c>
      <c r="E142">
        <v>-4.3518518518518476</v>
      </c>
      <c r="F142">
        <v>-1.3518518518518476</v>
      </c>
      <c r="G142">
        <v>-1.8518518518518476</v>
      </c>
      <c r="H142">
        <v>-4.8518518518518476</v>
      </c>
      <c r="I142">
        <v>4.1481481481481524</v>
      </c>
      <c r="J142">
        <v>1.6481481481481524</v>
      </c>
      <c r="K142">
        <v>-1.8518518518518476</v>
      </c>
      <c r="L142">
        <v>0.14814814814815236</v>
      </c>
      <c r="M142">
        <v>2.1481481481481524</v>
      </c>
      <c r="N142">
        <v>-2.8518518518518476</v>
      </c>
      <c r="O142">
        <v>4.1481481481481524</v>
      </c>
      <c r="P142">
        <v>5.1481481481481524</v>
      </c>
      <c r="Q142">
        <v>7.1481481481481524</v>
      </c>
      <c r="R142">
        <v>2.1481481481481524</v>
      </c>
      <c r="S142">
        <v>-1.8518518518518476</v>
      </c>
      <c r="T142">
        <v>-9.8518518518518476</v>
      </c>
      <c r="U142">
        <v>-5.8518518518518476</v>
      </c>
      <c r="V142">
        <v>3.1481481481481524</v>
      </c>
      <c r="W142">
        <v>2.1481481481481524</v>
      </c>
      <c r="X142">
        <v>-2.8518518518518476</v>
      </c>
      <c r="Y142">
        <v>7.1481481481481524</v>
      </c>
      <c r="Z142">
        <v>-0.85185185185184764</v>
      </c>
      <c r="AA142">
        <v>0.64814814814815236</v>
      </c>
      <c r="AB142">
        <v>2.1481481481481524</v>
      </c>
    </row>
    <row r="143" spans="1:28" x14ac:dyDescent="0.3">
      <c r="B143">
        <v>-0.24074074074074048</v>
      </c>
      <c r="C143">
        <v>-2.2407407407407405</v>
      </c>
      <c r="D143">
        <v>0.75925925925925952</v>
      </c>
      <c r="E143">
        <v>0.75925925925925952</v>
      </c>
      <c r="F143">
        <v>-3.2407407407407405</v>
      </c>
      <c r="G143">
        <v>-1.2407407407407405</v>
      </c>
      <c r="H143">
        <v>-2.7407407407407405</v>
      </c>
      <c r="I143">
        <v>2.7592592592592595</v>
      </c>
      <c r="J143">
        <v>2.2592592592592595</v>
      </c>
      <c r="K143">
        <v>-0.24074074074074048</v>
      </c>
      <c r="L143">
        <v>0.75925925925925952</v>
      </c>
      <c r="M143">
        <v>-0.74074074074074048</v>
      </c>
      <c r="N143">
        <v>-2.2407407407407405</v>
      </c>
      <c r="O143">
        <v>1.7592592592592595</v>
      </c>
      <c r="P143">
        <v>-0.24074074074074048</v>
      </c>
      <c r="Q143">
        <v>1.7592592592592595</v>
      </c>
      <c r="R143">
        <v>0.75925925925925952</v>
      </c>
      <c r="S143">
        <v>1.7592592592592595</v>
      </c>
      <c r="T143">
        <v>-1.2407407407407405</v>
      </c>
      <c r="U143">
        <v>-2.2407407407407405</v>
      </c>
      <c r="V143">
        <v>-0.24074074074074048</v>
      </c>
      <c r="W143">
        <v>-1.2407407407407405</v>
      </c>
      <c r="X143">
        <v>-1.2407407407407405</v>
      </c>
      <c r="Y143">
        <v>3.7592592592592595</v>
      </c>
      <c r="Z143">
        <v>-1.2407407407407405</v>
      </c>
      <c r="AA143">
        <v>0.75925925925925952</v>
      </c>
      <c r="AB143">
        <v>2.7592592592592595</v>
      </c>
    </row>
    <row r="144" spans="1:28" x14ac:dyDescent="0.3">
      <c r="B144">
        <v>-3.0925925925925881</v>
      </c>
      <c r="C144">
        <v>0.90740740740741188</v>
      </c>
      <c r="D144">
        <v>0.90740740740741188</v>
      </c>
      <c r="E144">
        <v>0.90740740740741188</v>
      </c>
      <c r="F144">
        <v>-3.0925925925925881</v>
      </c>
      <c r="G144">
        <v>-1.0925925925925881</v>
      </c>
      <c r="H144">
        <v>-9.2592592592588119E-2</v>
      </c>
      <c r="I144">
        <v>3.9074074074074119</v>
      </c>
      <c r="J144">
        <v>3.9074074074074119</v>
      </c>
      <c r="K144">
        <v>-2.0925925925925881</v>
      </c>
      <c r="L144">
        <v>-2.0925925925925881</v>
      </c>
      <c r="M144">
        <v>3.9074074074074119</v>
      </c>
      <c r="N144">
        <v>-4.0925925925925881</v>
      </c>
      <c r="O144">
        <v>1.9074074074074119</v>
      </c>
      <c r="P144">
        <v>-9.2592592592588119E-2</v>
      </c>
      <c r="Q144">
        <v>-9.2592592592588119E-2</v>
      </c>
      <c r="R144">
        <v>1.9074074074074119</v>
      </c>
      <c r="S144">
        <v>-1.0925925925925881</v>
      </c>
      <c r="T144">
        <v>-2.0925925925925881</v>
      </c>
      <c r="U144">
        <v>-5.0925925925925881</v>
      </c>
      <c r="V144">
        <v>2.9074074074074119</v>
      </c>
      <c r="W144">
        <v>0.90740740740741188</v>
      </c>
      <c r="X144">
        <v>-5.0925925925925881</v>
      </c>
      <c r="Y144">
        <v>8.9074074074074119</v>
      </c>
      <c r="Z144">
        <v>-9.2592592592588119E-2</v>
      </c>
      <c r="AA144">
        <v>1.4074074074074119</v>
      </c>
      <c r="AB144">
        <v>-3.0925925925925881</v>
      </c>
    </row>
    <row r="146" spans="1:10" x14ac:dyDescent="0.3">
      <c r="A146" s="5" t="s">
        <v>20</v>
      </c>
      <c r="B146" s="5"/>
      <c r="C146" s="5"/>
      <c r="D146" s="5"/>
      <c r="E146" s="5"/>
      <c r="F146" s="5"/>
      <c r="G146" s="5"/>
      <c r="H146" s="5"/>
      <c r="I146" s="5"/>
      <c r="J146" s="5"/>
    </row>
    <row r="148" spans="1:10" x14ac:dyDescent="0.3">
      <c r="A148" t="s">
        <v>2</v>
      </c>
      <c r="B148" cm="1">
        <f t="array" ref="B148:I155">MMULT(B137:AB144,B107:I133)</f>
        <v>6.666666666666667</v>
      </c>
      <c r="C148">
        <v>105.66666666666666</v>
      </c>
      <c r="D148">
        <v>124.33333333333333</v>
      </c>
      <c r="E148">
        <v>32.222222222222214</v>
      </c>
      <c r="F148">
        <v>51.44444444444445</v>
      </c>
      <c r="G148">
        <v>37.777777777777779</v>
      </c>
      <c r="H148">
        <v>9.1111111111111107</v>
      </c>
      <c r="I148">
        <v>30.388888888888893</v>
      </c>
    </row>
    <row r="149" spans="1:10" x14ac:dyDescent="0.3">
      <c r="A149" s="6" t="s">
        <v>3</v>
      </c>
      <c r="B149">
        <v>105.66666666666666</v>
      </c>
      <c r="C149">
        <v>2702.6666666666665</v>
      </c>
      <c r="D149">
        <v>2817.333333333333</v>
      </c>
      <c r="E149">
        <v>704.38888888888903</v>
      </c>
      <c r="F149">
        <v>1192.2777777777781</v>
      </c>
      <c r="G149">
        <v>895.11111111111097</v>
      </c>
      <c r="H149">
        <v>286.94444444444446</v>
      </c>
      <c r="I149">
        <v>706.05555555555554</v>
      </c>
    </row>
    <row r="150" spans="1:10" x14ac:dyDescent="0.3">
      <c r="A150" s="6" t="s">
        <v>4</v>
      </c>
      <c r="B150">
        <v>124.33333333333333</v>
      </c>
      <c r="C150">
        <v>2817.333333333333</v>
      </c>
      <c r="D150">
        <v>4260.6666666666661</v>
      </c>
      <c r="E150">
        <v>809.94444444444446</v>
      </c>
      <c r="F150">
        <v>1353.3888888888889</v>
      </c>
      <c r="G150">
        <v>1123.5555555555554</v>
      </c>
      <c r="H150">
        <v>379.72222222222223</v>
      </c>
      <c r="I150">
        <v>754.77777777777783</v>
      </c>
    </row>
    <row r="151" spans="1:10" x14ac:dyDescent="0.3">
      <c r="A151" s="6" t="s">
        <v>5</v>
      </c>
      <c r="B151">
        <v>32.222222222222214</v>
      </c>
      <c r="C151">
        <v>704.38888888888903</v>
      </c>
      <c r="D151">
        <v>809.94444444444446</v>
      </c>
      <c r="E151">
        <v>213.24074074074079</v>
      </c>
      <c r="F151">
        <v>314.48148148148147</v>
      </c>
      <c r="G151">
        <v>238.92592592592592</v>
      </c>
      <c r="H151">
        <v>75.120370370370367</v>
      </c>
      <c r="I151">
        <v>200.04629629629628</v>
      </c>
    </row>
    <row r="152" spans="1:10" x14ac:dyDescent="0.3">
      <c r="A152" s="6" t="s">
        <v>6</v>
      </c>
      <c r="B152">
        <v>51.44444444444445</v>
      </c>
      <c r="C152">
        <v>1192.2777777777781</v>
      </c>
      <c r="D152">
        <v>1353.3888888888889</v>
      </c>
      <c r="E152">
        <v>314.48148148148147</v>
      </c>
      <c r="F152">
        <v>638.96296296296282</v>
      </c>
      <c r="G152">
        <v>415.35185185185196</v>
      </c>
      <c r="H152">
        <v>112.74074074074073</v>
      </c>
      <c r="I152">
        <v>311.34259259259255</v>
      </c>
    </row>
    <row r="153" spans="1:10" x14ac:dyDescent="0.3">
      <c r="A153" s="6" t="s">
        <v>7</v>
      </c>
      <c r="B153">
        <v>37.777777777777779</v>
      </c>
      <c r="C153">
        <v>895.11111111111097</v>
      </c>
      <c r="D153">
        <v>1123.5555555555554</v>
      </c>
      <c r="E153">
        <v>238.92592592592592</v>
      </c>
      <c r="F153">
        <v>415.35185185185196</v>
      </c>
      <c r="G153">
        <v>420.40740740740733</v>
      </c>
      <c r="H153">
        <v>120.71296296296299</v>
      </c>
      <c r="I153">
        <v>208.12037037037035</v>
      </c>
    </row>
    <row r="154" spans="1:10" x14ac:dyDescent="0.3">
      <c r="A154" s="6" t="s">
        <v>8</v>
      </c>
      <c r="B154">
        <v>9.1111111111111107</v>
      </c>
      <c r="C154">
        <v>286.94444444444446</v>
      </c>
      <c r="D154">
        <v>379.72222222222223</v>
      </c>
      <c r="E154">
        <v>75.120370370370367</v>
      </c>
      <c r="F154">
        <v>112.74074074074073</v>
      </c>
      <c r="G154">
        <v>120.71296296296299</v>
      </c>
      <c r="H154">
        <v>88.185185185185134</v>
      </c>
      <c r="I154">
        <v>83.89814814814811</v>
      </c>
    </row>
    <row r="155" spans="1:10" x14ac:dyDescent="0.3">
      <c r="A155" s="6" t="s">
        <v>9</v>
      </c>
      <c r="B155">
        <v>30.388888888888893</v>
      </c>
      <c r="C155">
        <v>706.05555555555554</v>
      </c>
      <c r="D155">
        <v>754.77777777777783</v>
      </c>
      <c r="E155">
        <v>200.04629629629628</v>
      </c>
      <c r="F155">
        <v>311.34259259259255</v>
      </c>
      <c r="G155">
        <v>208.12037037037035</v>
      </c>
      <c r="H155">
        <v>83.89814814814811</v>
      </c>
      <c r="I155">
        <v>259.01851851851848</v>
      </c>
    </row>
    <row r="157" spans="1:10" x14ac:dyDescent="0.3">
      <c r="A157" s="5" t="s">
        <v>21</v>
      </c>
      <c r="B157" s="5"/>
      <c r="C157" s="5"/>
      <c r="D157" s="5"/>
      <c r="E157" s="5"/>
      <c r="F157" s="5"/>
      <c r="G157" s="5"/>
      <c r="H157" s="5"/>
      <c r="I157" s="5"/>
      <c r="J157" s="5"/>
    </row>
    <row r="159" spans="1:10" x14ac:dyDescent="0.3">
      <c r="A159" t="s">
        <v>2</v>
      </c>
      <c r="B159">
        <f>B148/$G$49</f>
        <v>0.25641025641025644</v>
      </c>
      <c r="C159">
        <f t="shared" ref="C159:J159" si="28">C148/$G$49</f>
        <v>4.0641025641025639</v>
      </c>
      <c r="D159">
        <f t="shared" si="28"/>
        <v>4.7820512820512819</v>
      </c>
      <c r="E159">
        <f t="shared" si="28"/>
        <v>1.2393162393162389</v>
      </c>
      <c r="F159">
        <f t="shared" si="28"/>
        <v>1.9786324786324789</v>
      </c>
      <c r="G159">
        <f t="shared" si="28"/>
        <v>1.4529914529914529</v>
      </c>
      <c r="H159">
        <f t="shared" si="28"/>
        <v>0.3504273504273504</v>
      </c>
      <c r="I159">
        <f t="shared" si="28"/>
        <v>1.1688034188034189</v>
      </c>
    </row>
    <row r="160" spans="1:10" x14ac:dyDescent="0.3">
      <c r="A160" s="6" t="s">
        <v>3</v>
      </c>
      <c r="B160">
        <f t="shared" ref="B160:J160" si="29">B149/$G$49</f>
        <v>4.0641025641025639</v>
      </c>
      <c r="C160">
        <f t="shared" si="29"/>
        <v>103.94871794871794</v>
      </c>
      <c r="D160">
        <f t="shared" si="29"/>
        <v>108.35897435897435</v>
      </c>
      <c r="E160">
        <f t="shared" si="29"/>
        <v>27.091880341880348</v>
      </c>
      <c r="F160">
        <f t="shared" si="29"/>
        <v>45.856837606837615</v>
      </c>
      <c r="G160">
        <f t="shared" si="29"/>
        <v>34.427350427350419</v>
      </c>
      <c r="H160">
        <f t="shared" si="29"/>
        <v>11.036324786324787</v>
      </c>
      <c r="I160">
        <f t="shared" si="29"/>
        <v>27.155982905982906</v>
      </c>
    </row>
    <row r="161" spans="1:10" x14ac:dyDescent="0.3">
      <c r="A161" s="6" t="s">
        <v>4</v>
      </c>
      <c r="B161">
        <f t="shared" ref="B161:J161" si="30">B150/$G$49</f>
        <v>4.7820512820512819</v>
      </c>
      <c r="C161">
        <f t="shared" si="30"/>
        <v>108.35897435897435</v>
      </c>
      <c r="D161">
        <f t="shared" si="30"/>
        <v>163.87179487179486</v>
      </c>
      <c r="E161">
        <f t="shared" si="30"/>
        <v>31.151709401709404</v>
      </c>
      <c r="F161">
        <f t="shared" si="30"/>
        <v>52.053418803418808</v>
      </c>
      <c r="G161">
        <f t="shared" si="30"/>
        <v>43.213675213675209</v>
      </c>
      <c r="H161">
        <f t="shared" si="30"/>
        <v>14.604700854700855</v>
      </c>
      <c r="I161">
        <f t="shared" si="30"/>
        <v>29.029914529914532</v>
      </c>
    </row>
    <row r="162" spans="1:10" x14ac:dyDescent="0.3">
      <c r="A162" s="6" t="s">
        <v>5</v>
      </c>
      <c r="B162">
        <f t="shared" ref="B162:J162" si="31">B151/$G$49</f>
        <v>1.2393162393162389</v>
      </c>
      <c r="C162">
        <f t="shared" si="31"/>
        <v>27.091880341880348</v>
      </c>
      <c r="D162">
        <f t="shared" si="31"/>
        <v>31.151709401709404</v>
      </c>
      <c r="E162">
        <f t="shared" si="31"/>
        <v>8.2015669515669529</v>
      </c>
      <c r="F162">
        <f t="shared" si="31"/>
        <v>12.095441595441596</v>
      </c>
      <c r="G162">
        <f t="shared" si="31"/>
        <v>9.1894586894586894</v>
      </c>
      <c r="H162">
        <f t="shared" si="31"/>
        <v>2.8892450142450139</v>
      </c>
      <c r="I162">
        <f t="shared" si="31"/>
        <v>7.6940883190883183</v>
      </c>
    </row>
    <row r="163" spans="1:10" x14ac:dyDescent="0.3">
      <c r="A163" s="6" t="s">
        <v>6</v>
      </c>
      <c r="B163">
        <f t="shared" ref="B163:J163" si="32">B152/$G$49</f>
        <v>1.9786324786324789</v>
      </c>
      <c r="C163">
        <f t="shared" si="32"/>
        <v>45.856837606837615</v>
      </c>
      <c r="D163">
        <f t="shared" si="32"/>
        <v>52.053418803418808</v>
      </c>
      <c r="E163">
        <f t="shared" si="32"/>
        <v>12.095441595441596</v>
      </c>
      <c r="F163">
        <f t="shared" si="32"/>
        <v>24.575498575498571</v>
      </c>
      <c r="G163">
        <f t="shared" si="32"/>
        <v>15.975071225071229</v>
      </c>
      <c r="H163">
        <f t="shared" si="32"/>
        <v>4.3361823361823362</v>
      </c>
      <c r="I163">
        <f t="shared" si="32"/>
        <v>11.974715099715098</v>
      </c>
    </row>
    <row r="164" spans="1:10" x14ac:dyDescent="0.3">
      <c r="A164" s="6" t="s">
        <v>7</v>
      </c>
      <c r="B164">
        <f t="shared" ref="B164:J164" si="33">B153/$G$49</f>
        <v>1.4529914529914529</v>
      </c>
      <c r="C164">
        <f t="shared" si="33"/>
        <v>34.427350427350419</v>
      </c>
      <c r="D164">
        <f t="shared" si="33"/>
        <v>43.213675213675209</v>
      </c>
      <c r="E164">
        <f t="shared" si="33"/>
        <v>9.1894586894586894</v>
      </c>
      <c r="F164">
        <f t="shared" si="33"/>
        <v>15.975071225071229</v>
      </c>
      <c r="G164">
        <f t="shared" si="33"/>
        <v>16.169515669515668</v>
      </c>
      <c r="H164">
        <f t="shared" si="33"/>
        <v>4.6428062678062689</v>
      </c>
      <c r="I164">
        <f t="shared" si="33"/>
        <v>8.0046296296296298</v>
      </c>
    </row>
    <row r="165" spans="1:10" x14ac:dyDescent="0.3">
      <c r="A165" s="6" t="s">
        <v>8</v>
      </c>
      <c r="B165">
        <f t="shared" ref="B165:J165" si="34">B154/$G$49</f>
        <v>0.3504273504273504</v>
      </c>
      <c r="C165">
        <f t="shared" si="34"/>
        <v>11.036324786324787</v>
      </c>
      <c r="D165">
        <f t="shared" si="34"/>
        <v>14.604700854700855</v>
      </c>
      <c r="E165">
        <f t="shared" si="34"/>
        <v>2.8892450142450139</v>
      </c>
      <c r="F165">
        <f t="shared" si="34"/>
        <v>4.3361823361823362</v>
      </c>
      <c r="G165">
        <f t="shared" si="34"/>
        <v>4.6428062678062689</v>
      </c>
      <c r="H165">
        <f t="shared" si="34"/>
        <v>3.3917378917378898</v>
      </c>
      <c r="I165">
        <f t="shared" si="34"/>
        <v>3.2268518518518503</v>
      </c>
    </row>
    <row r="166" spans="1:10" x14ac:dyDescent="0.3">
      <c r="A166" s="6" t="s">
        <v>9</v>
      </c>
      <c r="B166">
        <f t="shared" ref="B166:J166" si="35">B155/$G$49</f>
        <v>1.1688034188034189</v>
      </c>
      <c r="C166">
        <f t="shared" si="35"/>
        <v>27.155982905982906</v>
      </c>
      <c r="D166">
        <f t="shared" si="35"/>
        <v>29.029914529914532</v>
      </c>
      <c r="E166">
        <f t="shared" si="35"/>
        <v>7.6940883190883183</v>
      </c>
      <c r="F166">
        <f t="shared" si="35"/>
        <v>11.974715099715098</v>
      </c>
      <c r="G166">
        <f t="shared" si="35"/>
        <v>8.0046296296296298</v>
      </c>
      <c r="H166">
        <f t="shared" si="35"/>
        <v>3.2268518518518503</v>
      </c>
      <c r="I166">
        <f t="shared" si="35"/>
        <v>9.9622507122507109</v>
      </c>
    </row>
    <row r="168" spans="1:10" x14ac:dyDescent="0.3">
      <c r="A168" s="5" t="s">
        <v>22</v>
      </c>
      <c r="B168" s="5"/>
      <c r="C168" s="5"/>
      <c r="D168" s="5"/>
      <c r="E168" s="5"/>
      <c r="F168" s="5"/>
      <c r="G168" s="5"/>
      <c r="H168" s="5"/>
      <c r="I168" s="5"/>
      <c r="J168" s="5"/>
    </row>
    <row r="170" spans="1:10" x14ac:dyDescent="0.3">
      <c r="A170" t="s">
        <v>2</v>
      </c>
      <c r="B170">
        <f>SQRT(B159)</f>
        <v>0.50636968354183332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10" x14ac:dyDescent="0.3">
      <c r="A171" s="6" t="s">
        <v>3</v>
      </c>
      <c r="B171">
        <v>0</v>
      </c>
      <c r="C171">
        <f>SQRT(C160)</f>
        <v>10.195524407734894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10" x14ac:dyDescent="0.3">
      <c r="A172" s="6" t="s">
        <v>4</v>
      </c>
      <c r="B172">
        <v>0</v>
      </c>
      <c r="C172">
        <v>0</v>
      </c>
      <c r="D172">
        <f>SQRT(D161)</f>
        <v>12.801241926930171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10" x14ac:dyDescent="0.3">
      <c r="A173" s="6" t="s">
        <v>5</v>
      </c>
      <c r="B173">
        <v>0</v>
      </c>
      <c r="C173">
        <v>0</v>
      </c>
      <c r="D173">
        <v>0</v>
      </c>
      <c r="E173">
        <f t="shared" ref="E173:G175" si="36">SQRT(E162)</f>
        <v>2.8638378011973642</v>
      </c>
      <c r="F173">
        <v>0</v>
      </c>
      <c r="G173">
        <v>0</v>
      </c>
      <c r="H173">
        <v>0</v>
      </c>
      <c r="I173">
        <v>0</v>
      </c>
    </row>
    <row r="174" spans="1:10" x14ac:dyDescent="0.3">
      <c r="A174" s="6" t="s">
        <v>6</v>
      </c>
      <c r="B174">
        <v>0</v>
      </c>
      <c r="C174">
        <v>0</v>
      </c>
      <c r="D174">
        <v>0</v>
      </c>
      <c r="E174">
        <v>0</v>
      </c>
      <c r="F174">
        <f t="shared" si="36"/>
        <v>4.9573681097431699</v>
      </c>
      <c r="G174">
        <v>0</v>
      </c>
      <c r="H174">
        <v>0</v>
      </c>
      <c r="I174">
        <v>0</v>
      </c>
    </row>
    <row r="175" spans="1:10" x14ac:dyDescent="0.3">
      <c r="A175" s="6" t="s">
        <v>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36"/>
        <v>4.0211336299003628</v>
      </c>
      <c r="H175">
        <v>0</v>
      </c>
      <c r="I175">
        <v>0</v>
      </c>
    </row>
    <row r="176" spans="1:10" x14ac:dyDescent="0.3">
      <c r="A176" s="6" t="s">
        <v>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f>SQRT(H165)</f>
        <v>1.841667150094688</v>
      </c>
      <c r="I176">
        <v>0</v>
      </c>
    </row>
    <row r="177" spans="1:10" x14ac:dyDescent="0.3">
      <c r="A177" s="6" t="s">
        <v>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f>SQRT(I166)</f>
        <v>3.1563033302030257</v>
      </c>
    </row>
    <row r="179" spans="1:10" x14ac:dyDescent="0.3">
      <c r="A179" s="5" t="s">
        <v>23</v>
      </c>
      <c r="B179" s="5"/>
      <c r="C179" s="5"/>
      <c r="D179" s="5"/>
      <c r="E179" s="5"/>
      <c r="F179" s="5"/>
      <c r="G179" s="5"/>
      <c r="H179" s="5"/>
      <c r="I179" s="5"/>
      <c r="J179" s="5"/>
    </row>
    <row r="181" spans="1:10" x14ac:dyDescent="0.3">
      <c r="A181" t="s">
        <v>2</v>
      </c>
      <c r="B181">
        <f>1/B170</f>
        <v>1.9748417658131499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10" x14ac:dyDescent="0.3">
      <c r="A182" s="6" t="s">
        <v>3</v>
      </c>
      <c r="B182">
        <v>0</v>
      </c>
      <c r="C182">
        <f t="shared" ref="C182" si="37">1/C171</f>
        <v>9.8082252565777212E-2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10" x14ac:dyDescent="0.3">
      <c r="A183" s="6" t="s">
        <v>4</v>
      </c>
      <c r="B183">
        <v>0</v>
      </c>
      <c r="C183">
        <v>0</v>
      </c>
      <c r="D183">
        <f t="shared" ref="D183" si="38">1/D172</f>
        <v>7.8117420614970526E-2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10" x14ac:dyDescent="0.3">
      <c r="A184" s="6" t="s">
        <v>5</v>
      </c>
      <c r="B184">
        <v>0</v>
      </c>
      <c r="C184">
        <v>0</v>
      </c>
      <c r="D184">
        <v>0</v>
      </c>
      <c r="E184">
        <f t="shared" ref="E184" si="39">1/E173</f>
        <v>0.349181786615814</v>
      </c>
      <c r="F184">
        <v>0</v>
      </c>
      <c r="G184">
        <v>0</v>
      </c>
      <c r="H184">
        <v>0</v>
      </c>
      <c r="I184">
        <v>0</v>
      </c>
    </row>
    <row r="185" spans="1:10" x14ac:dyDescent="0.3">
      <c r="A185" s="6" t="s">
        <v>6</v>
      </c>
      <c r="B185">
        <v>0</v>
      </c>
      <c r="C185">
        <v>0</v>
      </c>
      <c r="D185">
        <v>0</v>
      </c>
      <c r="E185">
        <v>0</v>
      </c>
      <c r="F185">
        <f t="shared" ref="F185" si="40">1/F174</f>
        <v>0.20171994047297159</v>
      </c>
      <c r="G185">
        <v>0</v>
      </c>
      <c r="H185">
        <v>0</v>
      </c>
      <c r="I185">
        <v>0</v>
      </c>
    </row>
    <row r="186" spans="1:10" x14ac:dyDescent="0.3">
      <c r="A186" s="6" t="s">
        <v>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f t="shared" ref="G186" si="41">1/G175</f>
        <v>0.24868609005286363</v>
      </c>
      <c r="H186">
        <v>0</v>
      </c>
      <c r="I186">
        <v>0</v>
      </c>
    </row>
    <row r="187" spans="1:10" x14ac:dyDescent="0.3">
      <c r="A187" s="6" t="s">
        <v>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f t="shared" ref="H187" si="42">1/H176</f>
        <v>0.54298628280826189</v>
      </c>
      <c r="I187">
        <v>0</v>
      </c>
    </row>
    <row r="188" spans="1:10" x14ac:dyDescent="0.3">
      <c r="A188" s="6" t="s">
        <v>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f t="shared" ref="I188" si="43">1/I177</f>
        <v>0.31682632984950659</v>
      </c>
    </row>
    <row r="190" spans="1:10" x14ac:dyDescent="0.3">
      <c r="A190" s="5" t="s">
        <v>24</v>
      </c>
      <c r="B190" s="5"/>
      <c r="C190" s="5"/>
      <c r="D190" s="5"/>
      <c r="E190" s="5"/>
      <c r="F190" s="5"/>
      <c r="G190" s="5"/>
      <c r="H190" s="5"/>
      <c r="I190" s="5"/>
      <c r="J190" s="5"/>
    </row>
    <row r="192" spans="1:10" x14ac:dyDescent="0.3">
      <c r="A192" t="s">
        <v>2</v>
      </c>
      <c r="B192" cm="1">
        <f t="array" ref="B192:I199">MMULT(B181:I188,B159:I166)</f>
        <v>0.50636968354183332</v>
      </c>
      <c r="C192">
        <v>8.0259594841380579</v>
      </c>
      <c r="D192">
        <v>9.4437945980551916</v>
      </c>
      <c r="E192">
        <v>2.4474534704521935</v>
      </c>
      <c r="F192">
        <v>3.9074860579978141</v>
      </c>
      <c r="G192">
        <v>2.8694282067370551</v>
      </c>
      <c r="H192">
        <v>0.69203856750717208</v>
      </c>
      <c r="I192">
        <v>2.30820180747819</v>
      </c>
    </row>
    <row r="193" spans="1:10" x14ac:dyDescent="0.3">
      <c r="A193" s="6" t="s">
        <v>3</v>
      </c>
      <c r="B193">
        <v>0.39861633414553044</v>
      </c>
      <c r="C193">
        <v>10.195524407734892</v>
      </c>
      <c r="D193">
        <v>10.628092290845499</v>
      </c>
      <c r="E193">
        <v>2.657232650174123</v>
      </c>
      <c r="F193">
        <v>4.4977419280216777</v>
      </c>
      <c r="G193">
        <v>3.3767120797859018</v>
      </c>
      <c r="H193">
        <v>1.0824675950902549</v>
      </c>
      <c r="I193">
        <v>2.6635199740565438</v>
      </c>
    </row>
    <row r="194" spans="1:10" x14ac:dyDescent="0.3">
      <c r="A194" s="6" t="s">
        <v>4</v>
      </c>
      <c r="B194">
        <v>0.37356151140235905</v>
      </c>
      <c r="C194">
        <v>8.4647235774068061</v>
      </c>
      <c r="D194">
        <v>12.801241926930169</v>
      </c>
      <c r="E194">
        <v>2.4334911862086654</v>
      </c>
      <c r="F194">
        <v>4.0662788111138823</v>
      </c>
      <c r="G194">
        <v>3.3757408429853926</v>
      </c>
      <c r="H194">
        <v>1.1408815596224862</v>
      </c>
      <c r="I194">
        <v>2.267742043749978</v>
      </c>
    </row>
    <row r="195" spans="1:10" x14ac:dyDescent="0.3">
      <c r="A195" s="6" t="s">
        <v>5</v>
      </c>
      <c r="B195">
        <v>0.43274665862643602</v>
      </c>
      <c r="C195">
        <v>9.45999118055963</v>
      </c>
      <c r="D195">
        <v>10.877609545025541</v>
      </c>
      <c r="E195">
        <v>2.8638378011973638</v>
      </c>
      <c r="F195">
        <v>4.2235079062035279</v>
      </c>
      <c r="G195">
        <v>3.208791603217402</v>
      </c>
      <c r="H195">
        <v>1.0088717360449069</v>
      </c>
      <c r="I195">
        <v>2.6866355056391242</v>
      </c>
    </row>
    <row r="196" spans="1:10" x14ac:dyDescent="0.3">
      <c r="A196" s="6" t="s">
        <v>6</v>
      </c>
      <c r="B196">
        <v>0.39912962580763189</v>
      </c>
      <c r="C196">
        <v>9.2502385523300088</v>
      </c>
      <c r="D196">
        <v>10.500212542440302</v>
      </c>
      <c r="E196">
        <v>2.4398917586267834</v>
      </c>
      <c r="F196">
        <v>4.9573681097431699</v>
      </c>
      <c r="G196">
        <v>3.2224904165728496</v>
      </c>
      <c r="H196">
        <v>0.8746944427346518</v>
      </c>
      <c r="I196">
        <v>2.4155388170953236</v>
      </c>
    </row>
    <row r="197" spans="1:10" x14ac:dyDescent="0.3">
      <c r="A197" s="6" t="s">
        <v>7</v>
      </c>
      <c r="B197">
        <v>0.36133876332467363</v>
      </c>
      <c r="C197">
        <v>8.5616031686575589</v>
      </c>
      <c r="D197">
        <v>10.746639925703233</v>
      </c>
      <c r="E197">
        <v>2.285290551183794</v>
      </c>
      <c r="F197">
        <v>3.9727780012789742</v>
      </c>
      <c r="G197">
        <v>4.0211336299003628</v>
      </c>
      <c r="H197">
        <v>1.1546013376136695</v>
      </c>
      <c r="I197">
        <v>1.9906400449138946</v>
      </c>
    </row>
    <row r="198" spans="1:10" x14ac:dyDescent="0.3">
      <c r="A198" s="6" t="s">
        <v>8</v>
      </c>
      <c r="B198">
        <v>0.19027724440289517</v>
      </c>
      <c r="C198">
        <v>5.9925729715911817</v>
      </c>
      <c r="D198">
        <v>7.9301522286206625</v>
      </c>
      <c r="E198">
        <v>1.5688204104072037</v>
      </c>
      <c r="F198">
        <v>2.3544875283024918</v>
      </c>
      <c r="G198">
        <v>2.5209801171550255</v>
      </c>
      <c r="H198">
        <v>1.8416671500946877</v>
      </c>
      <c r="I198">
        <v>1.7521362922099923</v>
      </c>
    </row>
    <row r="199" spans="1:10" x14ac:dyDescent="0.3">
      <c r="A199" s="6" t="s">
        <v>9</v>
      </c>
      <c r="B199">
        <v>0.370307697495043</v>
      </c>
      <c r="C199">
        <v>8.6037303975585022</v>
      </c>
      <c r="D199">
        <v>9.1974412763576847</v>
      </c>
      <c r="E199">
        <v>2.4376897636747112</v>
      </c>
      <c r="F199">
        <v>3.793905036036203</v>
      </c>
      <c r="G199">
        <v>2.5360774273601709</v>
      </c>
      <c r="H199">
        <v>1.0223516291903054</v>
      </c>
      <c r="I199">
        <v>3.1563033302030257</v>
      </c>
    </row>
    <row r="201" spans="1:10" x14ac:dyDescent="0.3">
      <c r="A201" s="9" t="s">
        <v>25</v>
      </c>
      <c r="B201" s="9"/>
      <c r="C201" s="9"/>
      <c r="D201" s="9"/>
      <c r="E201" s="9"/>
      <c r="F201" s="9"/>
      <c r="G201" s="9"/>
      <c r="H201" s="9"/>
      <c r="I201" s="9"/>
      <c r="J201" s="9"/>
    </row>
    <row r="203" spans="1:10" x14ac:dyDescent="0.3">
      <c r="A203" t="s">
        <v>2</v>
      </c>
      <c r="B203" cm="1">
        <f t="array" ref="B203:I210">MMULT(_xlfn.ANCHORARRAY(B192),B181:I188)</f>
        <v>1</v>
      </c>
      <c r="C203">
        <v>0.78720418520592395</v>
      </c>
      <c r="D203">
        <v>0.73772487481766391</v>
      </c>
      <c r="E203">
        <v>0.85460617547157125</v>
      </c>
      <c r="F203">
        <v>0.78821785501828545</v>
      </c>
      <c r="G203">
        <v>0.71358688142083826</v>
      </c>
      <c r="H203">
        <v>0.3757674493306738</v>
      </c>
      <c r="I203">
        <v>0.73129910721531233</v>
      </c>
    </row>
    <row r="204" spans="1:10" x14ac:dyDescent="0.3">
      <c r="A204" s="6" t="s">
        <v>3</v>
      </c>
      <c r="B204">
        <v>0.78720418520592395</v>
      </c>
      <c r="C204">
        <v>0.99999999999999978</v>
      </c>
      <c r="D204">
        <v>0.83023915581870356</v>
      </c>
      <c r="E204">
        <v>0.92785724424167459</v>
      </c>
      <c r="F204">
        <v>0.90728423398332136</v>
      </c>
      <c r="G204">
        <v>0.83974132435622917</v>
      </c>
      <c r="H204">
        <v>0.58776505571845628</v>
      </c>
      <c r="I204">
        <v>0.84387325786118783</v>
      </c>
    </row>
    <row r="205" spans="1:10" x14ac:dyDescent="0.3">
      <c r="A205" s="6" t="s">
        <v>4</v>
      </c>
      <c r="B205">
        <v>0.7377248748176638</v>
      </c>
      <c r="C205">
        <v>0.83023915581870356</v>
      </c>
      <c r="D205">
        <v>0.99999999999999978</v>
      </c>
      <c r="E205">
        <v>0.84973080011417834</v>
      </c>
      <c r="F205">
        <v>0.82024951972439808</v>
      </c>
      <c r="G205">
        <v>0.83949979127379515</v>
      </c>
      <c r="H205">
        <v>0.61948303718390618</v>
      </c>
      <c r="I205">
        <v>0.71848038876672471</v>
      </c>
    </row>
    <row r="206" spans="1:10" x14ac:dyDescent="0.3">
      <c r="A206" s="6" t="s">
        <v>5</v>
      </c>
      <c r="B206">
        <v>0.85460617547157125</v>
      </c>
      <c r="C206">
        <v>0.92785724424167459</v>
      </c>
      <c r="D206">
        <v>0.84973080011417834</v>
      </c>
      <c r="E206">
        <v>0.99999999999999989</v>
      </c>
      <c r="F206">
        <v>0.85196576342650054</v>
      </c>
      <c r="G206">
        <v>0.79798183759859553</v>
      </c>
      <c r="H206">
        <v>0.54780351378534198</v>
      </c>
      <c r="I206">
        <v>0.85119686689501706</v>
      </c>
    </row>
    <row r="207" spans="1:10" x14ac:dyDescent="0.3">
      <c r="A207" s="6" t="s">
        <v>6</v>
      </c>
      <c r="B207">
        <v>0.78821785501828556</v>
      </c>
      <c r="C207">
        <v>0.90728423398332125</v>
      </c>
      <c r="D207">
        <v>0.82024951972439808</v>
      </c>
      <c r="E207">
        <v>0.85196576342650066</v>
      </c>
      <c r="F207">
        <v>0.99999999999999989</v>
      </c>
      <c r="G207">
        <v>0.80138854193032572</v>
      </c>
      <c r="H207">
        <v>0.4749470840535327</v>
      </c>
      <c r="I207">
        <v>0.76530629802932992</v>
      </c>
    </row>
    <row r="208" spans="1:10" x14ac:dyDescent="0.3">
      <c r="A208" s="6" t="s">
        <v>7</v>
      </c>
      <c r="B208">
        <v>0.71358688142083826</v>
      </c>
      <c r="C208">
        <v>0.83974132435622917</v>
      </c>
      <c r="D208">
        <v>0.83949979127379504</v>
      </c>
      <c r="E208">
        <v>0.79798183759859553</v>
      </c>
      <c r="F208">
        <v>0.80138854193032572</v>
      </c>
      <c r="G208">
        <v>1</v>
      </c>
      <c r="H208">
        <v>0.62693268843629335</v>
      </c>
      <c r="I208">
        <v>0.63068717948152619</v>
      </c>
    </row>
    <row r="209" spans="1:9" x14ac:dyDescent="0.3">
      <c r="A209" s="6" t="s">
        <v>8</v>
      </c>
      <c r="B209">
        <v>0.3757674493306738</v>
      </c>
      <c r="C209">
        <v>0.58776505571845639</v>
      </c>
      <c r="D209">
        <v>0.61948303718390618</v>
      </c>
      <c r="E209">
        <v>0.54780351378534198</v>
      </c>
      <c r="F209">
        <v>0.47494708405353264</v>
      </c>
      <c r="G209">
        <v>0.62693268843629335</v>
      </c>
      <c r="H209">
        <v>0.99999999999999978</v>
      </c>
      <c r="I209">
        <v>0.55512291085701448</v>
      </c>
    </row>
    <row r="210" spans="1:9" x14ac:dyDescent="0.3">
      <c r="A210" s="6" t="s">
        <v>9</v>
      </c>
      <c r="B210">
        <v>0.73129910721531244</v>
      </c>
      <c r="C210">
        <v>0.84387325786118783</v>
      </c>
      <c r="D210">
        <v>0.7184803887667246</v>
      </c>
      <c r="E210">
        <v>0.85119686689501706</v>
      </c>
      <c r="F210">
        <v>0.76530629802933003</v>
      </c>
      <c r="G210">
        <v>0.63068717948152619</v>
      </c>
      <c r="H210">
        <v>0.55512291085701448</v>
      </c>
      <c r="I210">
        <v>0.99999999999999989</v>
      </c>
    </row>
  </sheetData>
  <mergeCells count="13">
    <mergeCell ref="A179:J179"/>
    <mergeCell ref="A190:J190"/>
    <mergeCell ref="A201:J201"/>
    <mergeCell ref="A105:J105"/>
    <mergeCell ref="A135:J135"/>
    <mergeCell ref="A146:J146"/>
    <mergeCell ref="A157:J157"/>
    <mergeCell ref="A168:J168"/>
    <mergeCell ref="A1:I1"/>
    <mergeCell ref="A34:J34"/>
    <mergeCell ref="A46:J46"/>
    <mergeCell ref="A59:J59"/>
    <mergeCell ref="A73:J7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 VICTUS</cp:lastModifiedBy>
  <cp:revision>0</cp:revision>
  <dcterms:created xsi:type="dcterms:W3CDTF">2026-08-13T00:24:56Z</dcterms:created>
  <dcterms:modified xsi:type="dcterms:W3CDTF">2026-08-13T03:54:59Z</dcterms:modified>
  <dc:language>en-US</dc:language>
</cp:coreProperties>
</file>