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/Users/macintosh/Documents/"/>
    </mc:Choice>
  </mc:AlternateContent>
  <xr:revisionPtr revIDLastSave="0" documentId="8_{84423280-2B91-8A48-B241-7FD0ECF4CF95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1" i="1" l="1"/>
  <c r="M101" i="1" a="1"/>
  <c r="M101" i="1" s="1"/>
  <c r="M90" i="1" a="1"/>
  <c r="M90" i="1" s="1"/>
  <c r="T87" i="1"/>
  <c r="S86" i="1"/>
  <c r="R85" i="1"/>
  <c r="Q84" i="1"/>
  <c r="P83" i="1"/>
  <c r="O82" i="1"/>
  <c r="N81" i="1"/>
  <c r="M80" i="1"/>
  <c r="AC88" i="1"/>
  <c r="AB87" i="1"/>
  <c r="AA86" i="1"/>
  <c r="Z85" i="1"/>
  <c r="Y84" i="1"/>
  <c r="X83" i="1"/>
  <c r="W82" i="1"/>
  <c r="V68" i="1" a="1"/>
  <c r="V68" i="1" s="1"/>
  <c r="D80" i="1"/>
  <c r="V59" i="1" a="1"/>
  <c r="V59" i="1" s="1"/>
  <c r="V49" i="1" a="1"/>
  <c r="V49" i="1" s="1"/>
  <c r="M49" i="1" a="1"/>
  <c r="M49" i="1" s="1"/>
  <c r="C49" i="1" a="1"/>
  <c r="C49" i="1" s="1"/>
  <c r="Q13" i="1" a="1"/>
  <c r="Q13" i="1" s="1"/>
  <c r="R2" i="1" a="1"/>
  <c r="R2" i="1" s="1"/>
  <c r="P2" i="1" a="1"/>
  <c r="P2" i="1" s="1"/>
  <c r="N2" i="1"/>
  <c r="D31" i="1"/>
  <c r="E31" i="1"/>
  <c r="F31" i="1"/>
  <c r="G31" i="1"/>
  <c r="H31" i="1"/>
  <c r="I31" i="1"/>
  <c r="J31" i="1"/>
  <c r="C31" i="1"/>
  <c r="E30" i="1"/>
  <c r="F30" i="1"/>
  <c r="G30" i="1"/>
  <c r="H30" i="1"/>
  <c r="I30" i="1"/>
  <c r="J30" i="1"/>
  <c r="D30" i="1"/>
  <c r="C3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<sst xmlns="http://schemas.openxmlformats.org/spreadsheetml/2006/main" count="10" uniqueCount="10">
  <si>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Obs.</t>
  </si>
  <si>
    <t>sexo</t>
  </si>
  <si>
    <t>est</t>
  </si>
  <si>
    <t>pes</t>
  </si>
  <si>
    <t>pie</t>
  </si>
  <si>
    <t>lbr</t>
  </si>
  <si>
    <t>aes</t>
  </si>
  <si>
    <t>dcr</t>
  </si>
  <si>
    <t>lrt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</si>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</sst>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66669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0" xfId="0" applyNumberFormat="1">
      <alignment vertical="center"/>
    </xf>
    <xf numFmtId="0" fontId="1" fillId="0" borderId="0" xfId="0" applyFont="1" applyBorder="1" applyAlignment="1">
      <alignment horizontal="center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8" borderId="0" xfId="0" applyFont="1" applyFill="1" applyBorder="1" applyAlignment="1">
      <alignment horizontal="center"/>
    </xf>
    <xf numFmtId="0" fontId="0" fillId="9" borderId="0" xfId="0" applyFill="1">
      <alignment vertical="center"/>
    </xf>
    <xf numFmtId="0" fontId="0" fillId="10" borderId="0" xfId="0" applyFill="1" applyBorder="1">
      <alignment vertical="center"/>
    </xf>
    <xf numFmtId="0" fontId="0" fillId="7" borderId="0" xfId="0" applyFill="1">
      <alignment vertical="center"/>
    </xf>
    <xf numFmtId="0" fontId="0" fillId="11" borderId="0" xfId="0" applyFill="1" applyBorder="1">
      <alignment vertical="center"/>
    </xf>
    <xf numFmtId="0" fontId="0" fillId="11" borderId="0" xfId="0" applyFill="1">
      <alignment vertical="center"/>
    </xf>
    <xf numFmtId="0" fontId="2" fillId="11" borderId="0" xfId="0" applyFont="1" applyFill="1" applyBorder="1">
      <alignment vertical="center"/>
    </xf>
    <xf numFmtId="0" fontId="0" fillId="12" borderId="0" xfId="0" applyFill="1">
      <alignment vertical="center"/>
    </xf>
    <xf numFmtId="0" fontId="2" fillId="1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108"/>
  <sheetViews>
    <sheetView tabSelected="1" zoomScale="93" zoomScaleNormal="30" workbookViewId="0">
      <selection activeCell="L75" sqref="L75"/>
    </sheetView>
  </sheetViews>
  <sheetFormatPr baseColWidth="10" defaultColWidth="8.6640625" defaultRowHeight="15" x14ac:dyDescent="0.2"/>
  <cols>
    <col min="3" max="10" width="12.83203125"/>
    <col min="12" max="12" width="14"/>
    <col min="13" max="14" width="12.83203125"/>
    <col min="15" max="15" width="12.33203125" customWidth="1"/>
    <col min="16" max="16" width="11.5" customWidth="1"/>
    <col min="17" max="17" width="15.1640625" customWidth="1"/>
    <col min="18" max="18" width="12.83203125"/>
    <col min="19" max="19" width="11.6640625"/>
    <col min="22" max="22" width="14"/>
    <col min="23" max="29" width="12.83203125"/>
  </cols>
  <sheetData>
    <row r="1" spans="2:24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24" x14ac:dyDescent="0.15">
      <c r="B2" s="2">
        <v>1</v>
      </c>
      <c r="C2" s="2">
        <v>0</v>
      </c>
      <c r="D2" s="2">
        <v>159</v>
      </c>
      <c r="E2" s="2">
        <v>49</v>
      </c>
      <c r="F2" s="2">
        <v>36</v>
      </c>
      <c r="G2" s="2">
        <v>68</v>
      </c>
      <c r="H2" s="2">
        <v>42</v>
      </c>
      <c r="I2" s="2">
        <v>57</v>
      </c>
      <c r="J2" s="2">
        <v>40</v>
      </c>
      <c r="M2" s="11">
        <v>1</v>
      </c>
      <c r="N2" s="12">
        <f>1/27</f>
        <v>3.7037037037037035E-2</v>
      </c>
      <c r="P2" s="5" cm="1">
        <f t="array" ref="P2:P9">+MMULT(C38:AC45,M2:M28)</f>
        <v>12</v>
      </c>
      <c r="R2" s="5" cm="1">
        <f t="array" ref="R2:R9">+N2*_xlfn.ANCHORARRAY(P2)</f>
        <v>0.44444444444444442</v>
      </c>
    </row>
    <row r="3" spans="2:24" x14ac:dyDescent="0.15">
      <c r="B3" s="2">
        <v>2</v>
      </c>
      <c r="C3" s="2">
        <v>1</v>
      </c>
      <c r="D3" s="2">
        <v>164</v>
      </c>
      <c r="E3" s="2">
        <v>62</v>
      </c>
      <c r="F3" s="2">
        <v>39</v>
      </c>
      <c r="G3" s="2">
        <v>73</v>
      </c>
      <c r="H3" s="2">
        <v>44</v>
      </c>
      <c r="I3" s="2">
        <v>55</v>
      </c>
      <c r="J3" s="2">
        <v>44</v>
      </c>
      <c r="M3" s="11">
        <v>1</v>
      </c>
      <c r="P3" s="5">
        <v>4557</v>
      </c>
      <c r="R3" s="5">
        <v>168.77777777777777</v>
      </c>
    </row>
    <row r="4" spans="2:24" x14ac:dyDescent="0.15">
      <c r="B4" s="2">
        <v>3</v>
      </c>
      <c r="C4" s="2">
        <v>0</v>
      </c>
      <c r="D4" s="2">
        <v>172</v>
      </c>
      <c r="E4" s="2">
        <v>65</v>
      </c>
      <c r="F4" s="2">
        <v>38</v>
      </c>
      <c r="G4" s="2">
        <v>75</v>
      </c>
      <c r="H4" s="2">
        <v>48</v>
      </c>
      <c r="I4" s="2">
        <v>58</v>
      </c>
      <c r="J4" s="2">
        <v>44</v>
      </c>
      <c r="M4" s="11">
        <v>1</v>
      </c>
      <c r="P4" s="5">
        <v>1725</v>
      </c>
      <c r="R4" s="5">
        <v>63.888888888888886</v>
      </c>
    </row>
    <row r="5" spans="2:24" x14ac:dyDescent="0.15">
      <c r="B5" s="2">
        <v>4</v>
      </c>
      <c r="C5" s="2">
        <v>0</v>
      </c>
      <c r="D5" s="2">
        <v>167</v>
      </c>
      <c r="E5" s="2">
        <v>52</v>
      </c>
      <c r="F5" s="2">
        <v>37</v>
      </c>
      <c r="G5" s="2">
        <v>73</v>
      </c>
      <c r="H5" s="2">
        <v>41.5</v>
      </c>
      <c r="I5" s="2">
        <v>58</v>
      </c>
      <c r="J5" s="2">
        <v>44</v>
      </c>
      <c r="M5" s="11">
        <v>1</v>
      </c>
      <c r="P5" s="5">
        <v>1052.5</v>
      </c>
      <c r="R5" s="5">
        <v>38.981481481481481</v>
      </c>
    </row>
    <row r="6" spans="2:24" x14ac:dyDescent="0.15">
      <c r="B6" s="2">
        <v>5</v>
      </c>
      <c r="C6" s="2">
        <v>0</v>
      </c>
      <c r="D6" s="2">
        <v>164</v>
      </c>
      <c r="E6" s="2">
        <v>51</v>
      </c>
      <c r="F6" s="2">
        <v>36</v>
      </c>
      <c r="G6" s="2">
        <v>71</v>
      </c>
      <c r="H6" s="2">
        <v>44.5</v>
      </c>
      <c r="I6" s="2">
        <v>54</v>
      </c>
      <c r="J6" s="2">
        <v>40</v>
      </c>
      <c r="M6" s="11">
        <v>1</v>
      </c>
      <c r="P6" s="5">
        <v>1983.5</v>
      </c>
      <c r="R6" s="5">
        <v>73.462962962962962</v>
      </c>
    </row>
    <row r="7" spans="2:24" x14ac:dyDescent="0.15">
      <c r="B7" s="2">
        <v>6</v>
      </c>
      <c r="C7" s="2">
        <v>0</v>
      </c>
      <c r="D7" s="2">
        <v>161</v>
      </c>
      <c r="E7" s="2">
        <v>67</v>
      </c>
      <c r="F7" s="2">
        <v>38</v>
      </c>
      <c r="G7" s="2">
        <v>71</v>
      </c>
      <c r="H7" s="2">
        <v>44</v>
      </c>
      <c r="I7" s="2">
        <v>56</v>
      </c>
      <c r="J7" s="2">
        <v>42</v>
      </c>
      <c r="M7" s="11">
        <v>1</v>
      </c>
      <c r="P7" s="5">
        <v>1238</v>
      </c>
      <c r="R7" s="5">
        <v>45.851851851851848</v>
      </c>
    </row>
    <row r="8" spans="2:24" x14ac:dyDescent="0.15">
      <c r="B8" s="2">
        <v>7</v>
      </c>
      <c r="C8" s="2">
        <v>0</v>
      </c>
      <c r="D8" s="2">
        <v>168</v>
      </c>
      <c r="E8" s="2">
        <v>48</v>
      </c>
      <c r="F8" s="2">
        <v>39</v>
      </c>
      <c r="G8" s="2">
        <v>72.5</v>
      </c>
      <c r="H8" s="2">
        <v>41</v>
      </c>
      <c r="I8" s="2">
        <v>54.5</v>
      </c>
      <c r="J8" s="2">
        <v>43</v>
      </c>
      <c r="M8" s="11">
        <v>1</v>
      </c>
      <c r="P8" s="5">
        <v>1545.5</v>
      </c>
      <c r="R8" s="5">
        <v>57.24074074074074</v>
      </c>
    </row>
    <row r="9" spans="2:24" x14ac:dyDescent="0.15">
      <c r="B9" s="2">
        <v>8</v>
      </c>
      <c r="C9" s="2">
        <v>1</v>
      </c>
      <c r="D9" s="2">
        <v>181</v>
      </c>
      <c r="E9" s="2">
        <v>74</v>
      </c>
      <c r="F9" s="2">
        <v>43</v>
      </c>
      <c r="G9" s="2">
        <v>74</v>
      </c>
      <c r="H9" s="2">
        <v>50</v>
      </c>
      <c r="I9" s="2">
        <v>60</v>
      </c>
      <c r="J9" s="2">
        <v>47</v>
      </c>
      <c r="M9" s="11">
        <v>1</v>
      </c>
      <c r="P9" s="5">
        <v>1163.5</v>
      </c>
      <c r="R9" s="5">
        <v>43.092592592592588</v>
      </c>
    </row>
    <row r="10" spans="2:24" x14ac:dyDescent="0.15">
      <c r="B10" s="2">
        <v>9</v>
      </c>
      <c r="C10" s="2">
        <v>1</v>
      </c>
      <c r="D10" s="2">
        <v>183</v>
      </c>
      <c r="E10" s="2">
        <v>74</v>
      </c>
      <c r="F10" s="2">
        <v>41</v>
      </c>
      <c r="G10" s="2">
        <v>79</v>
      </c>
      <c r="H10" s="2">
        <v>47.5</v>
      </c>
      <c r="I10" s="2">
        <v>59.5</v>
      </c>
      <c r="J10" s="2">
        <v>47</v>
      </c>
      <c r="M10" s="11">
        <v>1</v>
      </c>
    </row>
    <row r="11" spans="2:24" x14ac:dyDescent="0.15">
      <c r="B11" s="2">
        <v>10</v>
      </c>
      <c r="C11" s="2">
        <v>0</v>
      </c>
      <c r="D11" s="2">
        <v>158</v>
      </c>
      <c r="E11" s="2">
        <v>50</v>
      </c>
      <c r="F11" s="2">
        <v>36</v>
      </c>
      <c r="G11" s="2">
        <v>68.5</v>
      </c>
      <c r="H11" s="2">
        <v>44</v>
      </c>
      <c r="I11" s="2">
        <v>57</v>
      </c>
      <c r="J11" s="2">
        <v>41</v>
      </c>
      <c r="M11" s="11">
        <v>1</v>
      </c>
    </row>
    <row r="12" spans="2:24" x14ac:dyDescent="0.15">
      <c r="B12" s="2">
        <v>11</v>
      </c>
      <c r="C12" s="2">
        <v>0</v>
      </c>
      <c r="D12" s="2">
        <v>156</v>
      </c>
      <c r="E12" s="2">
        <v>65</v>
      </c>
      <c r="F12" s="2">
        <v>36</v>
      </c>
      <c r="G12" s="2">
        <v>68</v>
      </c>
      <c r="H12" s="2">
        <v>46</v>
      </c>
      <c r="I12" s="2">
        <v>58</v>
      </c>
      <c r="J12" s="2">
        <v>41</v>
      </c>
      <c r="M12" s="11">
        <v>1</v>
      </c>
    </row>
    <row r="13" spans="2:24" x14ac:dyDescent="0.15">
      <c r="B13" s="2">
        <v>12</v>
      </c>
      <c r="C13" s="2">
        <v>1</v>
      </c>
      <c r="D13" s="2">
        <v>173</v>
      </c>
      <c r="E13" s="2">
        <v>64</v>
      </c>
      <c r="F13" s="2">
        <v>40</v>
      </c>
      <c r="G13" s="2">
        <v>79</v>
      </c>
      <c r="H13" s="2">
        <v>48</v>
      </c>
      <c r="I13" s="2">
        <v>56.5</v>
      </c>
      <c r="J13" s="2">
        <v>47</v>
      </c>
      <c r="M13" s="11">
        <v>1</v>
      </c>
      <c r="Q13" s="13" cm="1">
        <f t="array" ref="Q13:X13">+TRANSPOSE(_xlfn.ANCHORARRAY(R2))</f>
        <v>0.44444444444444442</v>
      </c>
      <c r="R13" s="13">
        <v>168.77777777777777</v>
      </c>
      <c r="S13" s="13">
        <v>63.888888888888886</v>
      </c>
      <c r="T13" s="13">
        <v>38.981481481481481</v>
      </c>
      <c r="U13" s="13">
        <v>73.462962962962962</v>
      </c>
      <c r="V13" s="13">
        <v>45.851851851851848</v>
      </c>
      <c r="W13" s="13">
        <v>57.24074074074074</v>
      </c>
      <c r="X13" s="13">
        <v>43.092592592592588</v>
      </c>
    </row>
    <row r="14" spans="2:24" x14ac:dyDescent="0.15">
      <c r="B14" s="2">
        <v>13</v>
      </c>
      <c r="C14" s="2">
        <v>0</v>
      </c>
      <c r="D14" s="2">
        <v>158</v>
      </c>
      <c r="E14" s="2">
        <v>43</v>
      </c>
      <c r="F14" s="2">
        <v>36</v>
      </c>
      <c r="G14" s="2">
        <v>68</v>
      </c>
      <c r="H14" s="2">
        <v>43</v>
      </c>
      <c r="I14" s="2">
        <v>55</v>
      </c>
      <c r="J14" s="2">
        <v>39</v>
      </c>
      <c r="M14" s="11">
        <v>1</v>
      </c>
      <c r="Q14" s="6"/>
      <c r="R14" s="6"/>
      <c r="S14" s="6"/>
      <c r="T14" s="6"/>
      <c r="U14" s="6"/>
      <c r="V14" s="6"/>
      <c r="W14" s="6"/>
    </row>
    <row r="15" spans="2:24" x14ac:dyDescent="0.15">
      <c r="B15" s="2">
        <v>14</v>
      </c>
      <c r="C15" s="2">
        <v>1</v>
      </c>
      <c r="D15" s="2">
        <v>178</v>
      </c>
      <c r="E15" s="2">
        <v>74</v>
      </c>
      <c r="F15" s="2">
        <v>42</v>
      </c>
      <c r="G15" s="2">
        <v>75</v>
      </c>
      <c r="H15" s="2">
        <v>50</v>
      </c>
      <c r="I15" s="2">
        <v>59</v>
      </c>
      <c r="J15" s="2">
        <v>45</v>
      </c>
      <c r="M15" s="11">
        <v>1</v>
      </c>
    </row>
    <row r="16" spans="2:24" x14ac:dyDescent="0.15">
      <c r="B16" s="2">
        <v>15</v>
      </c>
      <c r="C16" s="2">
        <v>1</v>
      </c>
      <c r="D16" s="2">
        <v>181</v>
      </c>
      <c r="E16" s="2">
        <v>76</v>
      </c>
      <c r="F16" s="2">
        <v>43</v>
      </c>
      <c r="G16" s="2">
        <v>83</v>
      </c>
      <c r="H16" s="2">
        <v>51</v>
      </c>
      <c r="I16" s="2">
        <v>57</v>
      </c>
      <c r="J16" s="2">
        <v>43</v>
      </c>
      <c r="M16" s="11">
        <v>1</v>
      </c>
    </row>
    <row r="17" spans="2:13" x14ac:dyDescent="0.15">
      <c r="B17" s="2">
        <v>16</v>
      </c>
      <c r="C17" s="2">
        <v>1</v>
      </c>
      <c r="D17" s="2">
        <v>182</v>
      </c>
      <c r="E17" s="2">
        <v>91</v>
      </c>
      <c r="F17" s="2">
        <v>41</v>
      </c>
      <c r="G17" s="2">
        <v>83</v>
      </c>
      <c r="H17" s="2">
        <v>53</v>
      </c>
      <c r="I17" s="2">
        <v>59</v>
      </c>
      <c r="J17" s="2">
        <v>43</v>
      </c>
      <c r="M17" s="11">
        <v>1</v>
      </c>
    </row>
    <row r="18" spans="2:13" x14ac:dyDescent="0.15">
      <c r="B18" s="2">
        <v>17</v>
      </c>
      <c r="C18" s="2">
        <v>1</v>
      </c>
      <c r="D18" s="2">
        <v>176</v>
      </c>
      <c r="E18" s="2">
        <v>73</v>
      </c>
      <c r="F18" s="2">
        <v>42</v>
      </c>
      <c r="G18" s="2">
        <v>78</v>
      </c>
      <c r="H18" s="2">
        <v>48</v>
      </c>
      <c r="I18" s="2">
        <v>58</v>
      </c>
      <c r="J18" s="2">
        <v>45</v>
      </c>
      <c r="M18" s="11">
        <v>1</v>
      </c>
    </row>
    <row r="19" spans="2:13" x14ac:dyDescent="0.15">
      <c r="B19" s="2">
        <v>18</v>
      </c>
      <c r="C19" s="2">
        <v>0</v>
      </c>
      <c r="D19" s="2">
        <v>162</v>
      </c>
      <c r="E19" s="2">
        <v>68</v>
      </c>
      <c r="F19" s="2">
        <v>39</v>
      </c>
      <c r="G19" s="2">
        <v>72</v>
      </c>
      <c r="H19" s="2">
        <v>44</v>
      </c>
      <c r="I19" s="2">
        <v>59</v>
      </c>
      <c r="J19" s="2">
        <v>42</v>
      </c>
      <c r="M19" s="11">
        <v>1</v>
      </c>
    </row>
    <row r="20" spans="2:13" x14ac:dyDescent="0.15">
      <c r="B20" s="2">
        <v>19</v>
      </c>
      <c r="C20" s="2">
        <v>0</v>
      </c>
      <c r="D20" s="2">
        <v>156</v>
      </c>
      <c r="E20" s="2">
        <v>52</v>
      </c>
      <c r="F20" s="2">
        <v>36</v>
      </c>
      <c r="G20" s="2">
        <v>67</v>
      </c>
      <c r="H20" s="2">
        <v>36</v>
      </c>
      <c r="I20" s="2">
        <v>56</v>
      </c>
      <c r="J20" s="2">
        <v>41</v>
      </c>
      <c r="M20" s="11">
        <v>1</v>
      </c>
    </row>
    <row r="21" spans="2:13" x14ac:dyDescent="0.15">
      <c r="B21" s="2">
        <v>20</v>
      </c>
      <c r="C21" s="2">
        <v>0</v>
      </c>
      <c r="D21" s="2">
        <v>152</v>
      </c>
      <c r="E21" s="2">
        <v>45</v>
      </c>
      <c r="F21" s="2">
        <v>34</v>
      </c>
      <c r="G21" s="2">
        <v>66</v>
      </c>
      <c r="H21" s="2">
        <v>40</v>
      </c>
      <c r="I21" s="2">
        <v>55</v>
      </c>
      <c r="J21" s="2">
        <v>38</v>
      </c>
      <c r="M21" s="11">
        <v>1</v>
      </c>
    </row>
    <row r="22" spans="2:13" x14ac:dyDescent="0.15">
      <c r="B22" s="2">
        <v>21</v>
      </c>
      <c r="C22" s="2">
        <v>1</v>
      </c>
      <c r="D22" s="2">
        <v>181</v>
      </c>
      <c r="E22" s="2">
        <v>80</v>
      </c>
      <c r="F22" s="2">
        <v>43</v>
      </c>
      <c r="G22" s="2">
        <v>76</v>
      </c>
      <c r="H22" s="2">
        <v>49</v>
      </c>
      <c r="I22" s="2">
        <v>57</v>
      </c>
      <c r="J22" s="2">
        <v>46</v>
      </c>
      <c r="M22" s="11">
        <v>1</v>
      </c>
    </row>
    <row r="23" spans="2:13" x14ac:dyDescent="0.15">
      <c r="B23" s="2">
        <v>22</v>
      </c>
      <c r="C23" s="2">
        <v>1</v>
      </c>
      <c r="D23" s="2">
        <v>173</v>
      </c>
      <c r="E23" s="2">
        <v>69</v>
      </c>
      <c r="F23" s="2">
        <v>41</v>
      </c>
      <c r="G23" s="2">
        <v>74</v>
      </c>
      <c r="H23" s="2">
        <v>48</v>
      </c>
      <c r="I23" s="2">
        <v>56</v>
      </c>
      <c r="J23" s="2">
        <v>44</v>
      </c>
      <c r="M23" s="11">
        <v>1</v>
      </c>
    </row>
    <row r="24" spans="2:13" x14ac:dyDescent="0.15">
      <c r="B24" s="2">
        <v>23</v>
      </c>
      <c r="C24" s="2">
        <v>0</v>
      </c>
      <c r="D24" s="2">
        <v>155</v>
      </c>
      <c r="E24" s="2">
        <v>53</v>
      </c>
      <c r="F24" s="2">
        <v>36</v>
      </c>
      <c r="G24" s="2">
        <v>67</v>
      </c>
      <c r="H24" s="2">
        <v>43</v>
      </c>
      <c r="I24" s="2">
        <v>56</v>
      </c>
      <c r="J24" s="2">
        <v>38</v>
      </c>
      <c r="M24" s="11">
        <v>1</v>
      </c>
    </row>
    <row r="25" spans="2:13" x14ac:dyDescent="0.15">
      <c r="B25" s="2">
        <v>24</v>
      </c>
      <c r="C25" s="2">
        <v>1</v>
      </c>
      <c r="D25" s="2">
        <v>189</v>
      </c>
      <c r="E25" s="2">
        <v>87</v>
      </c>
      <c r="F25" s="2">
        <v>45</v>
      </c>
      <c r="G25" s="2">
        <v>82</v>
      </c>
      <c r="H25" s="2">
        <v>53</v>
      </c>
      <c r="I25" s="2">
        <v>61</v>
      </c>
      <c r="J25" s="2">
        <v>52</v>
      </c>
      <c r="M25" s="11">
        <v>1</v>
      </c>
    </row>
    <row r="26" spans="2:13" x14ac:dyDescent="0.15">
      <c r="B26" s="2">
        <v>25</v>
      </c>
      <c r="C26" s="2">
        <v>0</v>
      </c>
      <c r="D26" s="2">
        <v>170</v>
      </c>
      <c r="E26" s="2">
        <v>70</v>
      </c>
      <c r="F26" s="2">
        <v>38</v>
      </c>
      <c r="G26" s="2">
        <v>73</v>
      </c>
      <c r="H26" s="2">
        <v>45</v>
      </c>
      <c r="I26" s="2">
        <v>56</v>
      </c>
      <c r="J26" s="2">
        <v>43</v>
      </c>
      <c r="M26" s="11">
        <v>1</v>
      </c>
    </row>
    <row r="27" spans="2:13" x14ac:dyDescent="0.15">
      <c r="B27" s="2">
        <v>26</v>
      </c>
      <c r="C27" s="2">
        <v>1</v>
      </c>
      <c r="D27" s="2">
        <v>170</v>
      </c>
      <c r="E27" s="2">
        <v>67</v>
      </c>
      <c r="F27" s="2">
        <v>40</v>
      </c>
      <c r="G27" s="2">
        <v>77</v>
      </c>
      <c r="H27" s="2">
        <v>46.5</v>
      </c>
      <c r="I27" s="2">
        <v>58</v>
      </c>
      <c r="J27" s="2">
        <v>44.5</v>
      </c>
      <c r="M27" s="11">
        <v>1</v>
      </c>
    </row>
    <row r="28" spans="2:13" x14ac:dyDescent="0.15">
      <c r="B28" s="2">
        <v>27</v>
      </c>
      <c r="C28" s="2">
        <v>0</v>
      </c>
      <c r="D28" s="2">
        <v>168</v>
      </c>
      <c r="E28" s="2">
        <v>56</v>
      </c>
      <c r="F28" s="2">
        <v>37.5</v>
      </c>
      <c r="G28" s="2">
        <v>70.5</v>
      </c>
      <c r="H28" s="2">
        <v>48</v>
      </c>
      <c r="I28" s="2">
        <v>60</v>
      </c>
      <c r="J28" s="2">
        <v>40</v>
      </c>
      <c r="M28" s="11">
        <v>1</v>
      </c>
    </row>
    <row r="30" spans="2:13" x14ac:dyDescent="0.2">
      <c r="C30" s="9">
        <f>+AVERAGE(C2:C28)</f>
        <v>0.44444444444444442</v>
      </c>
      <c r="D30" s="9">
        <f>+AVERAGE(D2:D28)</f>
        <v>168.77777777777777</v>
      </c>
      <c r="E30" s="9">
        <f t="shared" ref="E30:J30" si="0">+AVERAGE(E2:E28)</f>
        <v>63.888888888888886</v>
      </c>
      <c r="F30" s="9">
        <f t="shared" si="0"/>
        <v>38.981481481481481</v>
      </c>
      <c r="G30" s="9">
        <f t="shared" si="0"/>
        <v>73.462962962962962</v>
      </c>
      <c r="H30" s="9">
        <f t="shared" si="0"/>
        <v>45.851851851851855</v>
      </c>
      <c r="I30" s="9">
        <f t="shared" si="0"/>
        <v>57.24074074074074</v>
      </c>
      <c r="J30" s="9">
        <f t="shared" si="0"/>
        <v>43.092592592592595</v>
      </c>
    </row>
    <row r="31" spans="2:13" x14ac:dyDescent="0.2">
      <c r="C31" s="10">
        <f>+VAR(C2:C28)</f>
        <v>0.25641025641025644</v>
      </c>
      <c r="D31" s="10">
        <f t="shared" ref="D31:J31" si="1">+VAR(D2:D28)</f>
        <v>103.94871794871794</v>
      </c>
      <c r="E31" s="10">
        <f t="shared" si="1"/>
        <v>163.87179487179506</v>
      </c>
      <c r="F31" s="10">
        <f t="shared" si="1"/>
        <v>8.2015669515669529</v>
      </c>
      <c r="G31" s="10">
        <f t="shared" si="1"/>
        <v>24.575498575498571</v>
      </c>
      <c r="H31" s="10">
        <f t="shared" si="1"/>
        <v>16.169515669515668</v>
      </c>
      <c r="I31" s="10">
        <f t="shared" si="1"/>
        <v>3.3917378917378898</v>
      </c>
      <c r="J31" s="10">
        <f t="shared" si="1"/>
        <v>9.9622507122507127</v>
      </c>
    </row>
    <row r="36" spans="3:29" x14ac:dyDescent="0.1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3:29" x14ac:dyDescent="0.1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3:29" x14ac:dyDescent="0.15">
      <c r="C38" s="8">
        <v>0</v>
      </c>
      <c r="D38" s="8">
        <v>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0</v>
      </c>
      <c r="M38" s="8">
        <v>0</v>
      </c>
      <c r="N38" s="8">
        <v>1</v>
      </c>
      <c r="O38" s="8">
        <v>0</v>
      </c>
      <c r="P38" s="8">
        <v>1</v>
      </c>
      <c r="Q38" s="8">
        <v>1</v>
      </c>
      <c r="R38" s="8">
        <v>1</v>
      </c>
      <c r="S38" s="8">
        <v>1</v>
      </c>
      <c r="T38" s="8">
        <v>0</v>
      </c>
      <c r="U38" s="8">
        <v>0</v>
      </c>
      <c r="V38" s="8">
        <v>0</v>
      </c>
      <c r="W38" s="8">
        <v>1</v>
      </c>
      <c r="X38" s="8">
        <v>1</v>
      </c>
      <c r="Y38" s="8">
        <v>0</v>
      </c>
      <c r="Z38" s="8">
        <v>1</v>
      </c>
      <c r="AA38" s="8">
        <v>0</v>
      </c>
      <c r="AB38" s="8">
        <v>1</v>
      </c>
      <c r="AC38" s="8">
        <v>0</v>
      </c>
    </row>
    <row r="39" spans="3:29" x14ac:dyDescent="0.15">
      <c r="C39" s="8">
        <v>159</v>
      </c>
      <c r="D39" s="8">
        <v>164</v>
      </c>
      <c r="E39" s="8">
        <v>172</v>
      </c>
      <c r="F39" s="8">
        <v>167</v>
      </c>
      <c r="G39" s="8">
        <v>164</v>
      </c>
      <c r="H39" s="8">
        <v>161</v>
      </c>
      <c r="I39" s="8">
        <v>168</v>
      </c>
      <c r="J39" s="8">
        <v>181</v>
      </c>
      <c r="K39" s="8">
        <v>183</v>
      </c>
      <c r="L39" s="8">
        <v>158</v>
      </c>
      <c r="M39" s="8">
        <v>156</v>
      </c>
      <c r="N39" s="8">
        <v>173</v>
      </c>
      <c r="O39" s="8">
        <v>158</v>
      </c>
      <c r="P39" s="8">
        <v>178</v>
      </c>
      <c r="Q39" s="8">
        <v>181</v>
      </c>
      <c r="R39" s="8">
        <v>182</v>
      </c>
      <c r="S39" s="8">
        <v>176</v>
      </c>
      <c r="T39" s="8">
        <v>162</v>
      </c>
      <c r="U39" s="8">
        <v>156</v>
      </c>
      <c r="V39" s="8">
        <v>152</v>
      </c>
      <c r="W39" s="8">
        <v>181</v>
      </c>
      <c r="X39" s="8">
        <v>173</v>
      </c>
      <c r="Y39" s="8">
        <v>155</v>
      </c>
      <c r="Z39" s="8">
        <v>189</v>
      </c>
      <c r="AA39" s="8">
        <v>170</v>
      </c>
      <c r="AB39" s="8">
        <v>170</v>
      </c>
      <c r="AC39" s="8">
        <v>168</v>
      </c>
    </row>
    <row r="40" spans="3:29" x14ac:dyDescent="0.15">
      <c r="C40" s="8">
        <v>49</v>
      </c>
      <c r="D40" s="8">
        <v>62</v>
      </c>
      <c r="E40" s="8">
        <v>65</v>
      </c>
      <c r="F40" s="8">
        <v>52</v>
      </c>
      <c r="G40" s="8">
        <v>51</v>
      </c>
      <c r="H40" s="8">
        <v>67</v>
      </c>
      <c r="I40" s="8">
        <v>48</v>
      </c>
      <c r="J40" s="8">
        <v>74</v>
      </c>
      <c r="K40" s="8">
        <v>74</v>
      </c>
      <c r="L40" s="8">
        <v>50</v>
      </c>
      <c r="M40" s="8">
        <v>65</v>
      </c>
      <c r="N40" s="8">
        <v>64</v>
      </c>
      <c r="O40" s="8">
        <v>43</v>
      </c>
      <c r="P40" s="8">
        <v>74</v>
      </c>
      <c r="Q40" s="8">
        <v>76</v>
      </c>
      <c r="R40" s="8">
        <v>91</v>
      </c>
      <c r="S40" s="8">
        <v>73</v>
      </c>
      <c r="T40" s="8">
        <v>68</v>
      </c>
      <c r="U40" s="8">
        <v>52</v>
      </c>
      <c r="V40" s="8">
        <v>45</v>
      </c>
      <c r="W40" s="8">
        <v>80</v>
      </c>
      <c r="X40" s="8">
        <v>69</v>
      </c>
      <c r="Y40" s="8">
        <v>53</v>
      </c>
      <c r="Z40" s="8">
        <v>87</v>
      </c>
      <c r="AA40" s="8">
        <v>70</v>
      </c>
      <c r="AB40" s="8">
        <v>67</v>
      </c>
      <c r="AC40" s="8">
        <v>56</v>
      </c>
    </row>
    <row r="41" spans="3:29" x14ac:dyDescent="0.15">
      <c r="C41" s="8">
        <v>36</v>
      </c>
      <c r="D41" s="8">
        <v>39</v>
      </c>
      <c r="E41" s="8">
        <v>38</v>
      </c>
      <c r="F41" s="8">
        <v>37</v>
      </c>
      <c r="G41" s="8">
        <v>36</v>
      </c>
      <c r="H41" s="8">
        <v>38</v>
      </c>
      <c r="I41" s="8">
        <v>39</v>
      </c>
      <c r="J41" s="8">
        <v>43</v>
      </c>
      <c r="K41" s="8">
        <v>41</v>
      </c>
      <c r="L41" s="8">
        <v>36</v>
      </c>
      <c r="M41" s="8">
        <v>36</v>
      </c>
      <c r="N41" s="8">
        <v>40</v>
      </c>
      <c r="O41" s="8">
        <v>36</v>
      </c>
      <c r="P41" s="8">
        <v>42</v>
      </c>
      <c r="Q41" s="8">
        <v>43</v>
      </c>
      <c r="R41" s="8">
        <v>41</v>
      </c>
      <c r="S41" s="8">
        <v>42</v>
      </c>
      <c r="T41" s="8">
        <v>39</v>
      </c>
      <c r="U41" s="8">
        <v>36</v>
      </c>
      <c r="V41" s="8">
        <v>34</v>
      </c>
      <c r="W41" s="8">
        <v>43</v>
      </c>
      <c r="X41" s="8">
        <v>41</v>
      </c>
      <c r="Y41" s="8">
        <v>36</v>
      </c>
      <c r="Z41" s="8">
        <v>45</v>
      </c>
      <c r="AA41" s="8">
        <v>38</v>
      </c>
      <c r="AB41" s="8">
        <v>40</v>
      </c>
      <c r="AC41" s="8">
        <v>37.5</v>
      </c>
    </row>
    <row r="42" spans="3:29" x14ac:dyDescent="0.15">
      <c r="C42" s="8">
        <v>68</v>
      </c>
      <c r="D42" s="8">
        <v>73</v>
      </c>
      <c r="E42" s="8">
        <v>75</v>
      </c>
      <c r="F42" s="8">
        <v>73</v>
      </c>
      <c r="G42" s="8">
        <v>71</v>
      </c>
      <c r="H42" s="8">
        <v>71</v>
      </c>
      <c r="I42" s="8">
        <v>72.5</v>
      </c>
      <c r="J42" s="8">
        <v>74</v>
      </c>
      <c r="K42" s="8">
        <v>79</v>
      </c>
      <c r="L42" s="8">
        <v>68.5</v>
      </c>
      <c r="M42" s="8">
        <v>68</v>
      </c>
      <c r="N42" s="8">
        <v>79</v>
      </c>
      <c r="O42" s="8">
        <v>68</v>
      </c>
      <c r="P42" s="8">
        <v>75</v>
      </c>
      <c r="Q42" s="8">
        <v>83</v>
      </c>
      <c r="R42" s="8">
        <v>83</v>
      </c>
      <c r="S42" s="8">
        <v>78</v>
      </c>
      <c r="T42" s="8">
        <v>72</v>
      </c>
      <c r="U42" s="8">
        <v>67</v>
      </c>
      <c r="V42" s="8">
        <v>66</v>
      </c>
      <c r="W42" s="8">
        <v>76</v>
      </c>
      <c r="X42" s="8">
        <v>74</v>
      </c>
      <c r="Y42" s="8">
        <v>67</v>
      </c>
      <c r="Z42" s="8">
        <v>82</v>
      </c>
      <c r="AA42" s="8">
        <v>73</v>
      </c>
      <c r="AB42" s="8">
        <v>77</v>
      </c>
      <c r="AC42" s="8">
        <v>70.5</v>
      </c>
    </row>
    <row r="43" spans="3:29" x14ac:dyDescent="0.15">
      <c r="C43" s="8">
        <v>42</v>
      </c>
      <c r="D43" s="8">
        <v>44</v>
      </c>
      <c r="E43" s="8">
        <v>48</v>
      </c>
      <c r="F43" s="8">
        <v>41.5</v>
      </c>
      <c r="G43" s="8">
        <v>44.5</v>
      </c>
      <c r="H43" s="8">
        <v>44</v>
      </c>
      <c r="I43" s="8">
        <v>41</v>
      </c>
      <c r="J43" s="8">
        <v>50</v>
      </c>
      <c r="K43" s="8">
        <v>47.5</v>
      </c>
      <c r="L43" s="8">
        <v>44</v>
      </c>
      <c r="M43" s="8">
        <v>46</v>
      </c>
      <c r="N43" s="8">
        <v>48</v>
      </c>
      <c r="O43" s="8">
        <v>43</v>
      </c>
      <c r="P43" s="8">
        <v>50</v>
      </c>
      <c r="Q43" s="8">
        <v>51</v>
      </c>
      <c r="R43" s="8">
        <v>53</v>
      </c>
      <c r="S43" s="8">
        <v>48</v>
      </c>
      <c r="T43" s="8">
        <v>44</v>
      </c>
      <c r="U43" s="8">
        <v>36</v>
      </c>
      <c r="V43" s="8">
        <v>40</v>
      </c>
      <c r="W43" s="8">
        <v>49</v>
      </c>
      <c r="X43" s="8">
        <v>48</v>
      </c>
      <c r="Y43" s="8">
        <v>43</v>
      </c>
      <c r="Z43" s="8">
        <v>53</v>
      </c>
      <c r="AA43" s="8">
        <v>45</v>
      </c>
      <c r="AB43" s="8">
        <v>46.5</v>
      </c>
      <c r="AC43" s="8">
        <v>48</v>
      </c>
    </row>
    <row r="44" spans="3:29" x14ac:dyDescent="0.15">
      <c r="C44" s="8">
        <v>57</v>
      </c>
      <c r="D44" s="8">
        <v>55</v>
      </c>
      <c r="E44" s="8">
        <v>58</v>
      </c>
      <c r="F44" s="8">
        <v>58</v>
      </c>
      <c r="G44" s="8">
        <v>54</v>
      </c>
      <c r="H44" s="8">
        <v>56</v>
      </c>
      <c r="I44" s="8">
        <v>54.5</v>
      </c>
      <c r="J44" s="8">
        <v>60</v>
      </c>
      <c r="K44" s="8">
        <v>59.5</v>
      </c>
      <c r="L44" s="8">
        <v>57</v>
      </c>
      <c r="M44" s="8">
        <v>58</v>
      </c>
      <c r="N44" s="8">
        <v>56.5</v>
      </c>
      <c r="O44" s="8">
        <v>55</v>
      </c>
      <c r="P44" s="8">
        <v>59</v>
      </c>
      <c r="Q44" s="8">
        <v>57</v>
      </c>
      <c r="R44" s="8">
        <v>59</v>
      </c>
      <c r="S44" s="8">
        <v>58</v>
      </c>
      <c r="T44" s="8">
        <v>59</v>
      </c>
      <c r="U44" s="8">
        <v>56</v>
      </c>
      <c r="V44" s="8">
        <v>55</v>
      </c>
      <c r="W44" s="8">
        <v>57</v>
      </c>
      <c r="X44" s="8">
        <v>56</v>
      </c>
      <c r="Y44" s="8">
        <v>56</v>
      </c>
      <c r="Z44" s="8">
        <v>61</v>
      </c>
      <c r="AA44" s="8">
        <v>56</v>
      </c>
      <c r="AB44" s="8">
        <v>58</v>
      </c>
      <c r="AC44" s="8">
        <v>60</v>
      </c>
    </row>
    <row r="45" spans="3:29" x14ac:dyDescent="0.15">
      <c r="C45" s="8">
        <v>40</v>
      </c>
      <c r="D45" s="8">
        <v>44</v>
      </c>
      <c r="E45" s="8">
        <v>44</v>
      </c>
      <c r="F45" s="8">
        <v>44</v>
      </c>
      <c r="G45" s="8">
        <v>40</v>
      </c>
      <c r="H45" s="8">
        <v>42</v>
      </c>
      <c r="I45" s="8">
        <v>43</v>
      </c>
      <c r="J45" s="8">
        <v>47</v>
      </c>
      <c r="K45" s="8">
        <v>47</v>
      </c>
      <c r="L45" s="8">
        <v>41</v>
      </c>
      <c r="M45" s="8">
        <v>41</v>
      </c>
      <c r="N45" s="8">
        <v>47</v>
      </c>
      <c r="O45" s="8">
        <v>39</v>
      </c>
      <c r="P45" s="8">
        <v>45</v>
      </c>
      <c r="Q45" s="8">
        <v>43</v>
      </c>
      <c r="R45" s="8">
        <v>43</v>
      </c>
      <c r="S45" s="8">
        <v>45</v>
      </c>
      <c r="T45" s="8">
        <v>42</v>
      </c>
      <c r="U45" s="8">
        <v>41</v>
      </c>
      <c r="V45" s="8">
        <v>38</v>
      </c>
      <c r="W45" s="8">
        <v>46</v>
      </c>
      <c r="X45" s="8">
        <v>44</v>
      </c>
      <c r="Y45" s="8">
        <v>38</v>
      </c>
      <c r="Z45" s="8">
        <v>52</v>
      </c>
      <c r="AA45" s="8">
        <v>43</v>
      </c>
      <c r="AB45" s="8">
        <v>44.5</v>
      </c>
      <c r="AC45" s="8">
        <v>40</v>
      </c>
    </row>
    <row r="49" spans="3:48" x14ac:dyDescent="0.2">
      <c r="C49" cm="1">
        <f t="array" ref="C49:J75">+MMULT(M2:M28,_xlfn.ANCHORARRAY(Q13))</f>
        <v>0.44444444444444442</v>
      </c>
      <c r="D49">
        <v>168.77777777777777</v>
      </c>
      <c r="E49">
        <v>63.888888888888886</v>
      </c>
      <c r="F49">
        <v>38.981481481481481</v>
      </c>
      <c r="G49">
        <v>73.462962962962962</v>
      </c>
      <c r="H49">
        <v>45.851851851851848</v>
      </c>
      <c r="I49">
        <v>57.24074074074074</v>
      </c>
      <c r="J49">
        <v>43.092592592592588</v>
      </c>
      <c r="M49" cm="1">
        <f t="array" ref="M49:T75">+_xlfn.ANCHORARRAY(C49)-C2:J28</f>
        <v>0.44444444444444442</v>
      </c>
      <c r="N49">
        <v>9.7777777777777715</v>
      </c>
      <c r="O49">
        <v>14.888888888888886</v>
      </c>
      <c r="P49">
        <v>2.981481481481481</v>
      </c>
      <c r="Q49">
        <v>5.4629629629629619</v>
      </c>
      <c r="R49">
        <v>3.8518518518518476</v>
      </c>
      <c r="S49">
        <v>0.24074074074074048</v>
      </c>
      <c r="T49">
        <v>3.0925925925925881</v>
      </c>
      <c r="V49" cm="1">
        <f t="array" ref="V49:AV56">+TRANSPOSE(_xlfn.ANCHORARRAY(M49))</f>
        <v>0.44444444444444442</v>
      </c>
      <c r="W49">
        <v>-0.55555555555555558</v>
      </c>
      <c r="X49">
        <v>0.44444444444444442</v>
      </c>
      <c r="Y49">
        <v>0.44444444444444442</v>
      </c>
      <c r="Z49">
        <v>0.44444444444444442</v>
      </c>
      <c r="AA49">
        <v>0.44444444444444442</v>
      </c>
      <c r="AB49">
        <v>0.44444444444444442</v>
      </c>
      <c r="AC49">
        <v>-0.55555555555555558</v>
      </c>
      <c r="AD49">
        <v>-0.55555555555555558</v>
      </c>
      <c r="AE49">
        <v>0.44444444444444442</v>
      </c>
      <c r="AF49">
        <v>0.44444444444444442</v>
      </c>
      <c r="AG49">
        <v>-0.55555555555555558</v>
      </c>
      <c r="AH49">
        <v>0.44444444444444442</v>
      </c>
      <c r="AI49">
        <v>-0.55555555555555558</v>
      </c>
      <c r="AJ49">
        <v>-0.55555555555555558</v>
      </c>
      <c r="AK49">
        <v>-0.55555555555555558</v>
      </c>
      <c r="AL49">
        <v>-0.55555555555555558</v>
      </c>
      <c r="AM49">
        <v>0.44444444444444442</v>
      </c>
      <c r="AN49">
        <v>0.44444444444444442</v>
      </c>
      <c r="AO49">
        <v>0.44444444444444442</v>
      </c>
      <c r="AP49">
        <v>-0.55555555555555558</v>
      </c>
      <c r="AQ49">
        <v>-0.55555555555555558</v>
      </c>
      <c r="AR49">
        <v>0.44444444444444442</v>
      </c>
      <c r="AS49">
        <v>-0.55555555555555558</v>
      </c>
      <c r="AT49">
        <v>0.44444444444444442</v>
      </c>
      <c r="AU49">
        <v>-0.55555555555555558</v>
      </c>
      <c r="AV49">
        <v>0.44444444444444442</v>
      </c>
    </row>
    <row r="50" spans="3:48" x14ac:dyDescent="0.2">
      <c r="C50">
        <v>0.44444444444444442</v>
      </c>
      <c r="D50">
        <v>168.77777777777777</v>
      </c>
      <c r="E50">
        <v>63.888888888888886</v>
      </c>
      <c r="F50">
        <v>38.981481481481481</v>
      </c>
      <c r="G50">
        <v>73.462962962962962</v>
      </c>
      <c r="H50">
        <v>45.851851851851848</v>
      </c>
      <c r="I50">
        <v>57.24074074074074</v>
      </c>
      <c r="J50">
        <v>43.092592592592588</v>
      </c>
      <c r="M50">
        <v>-0.55555555555555558</v>
      </c>
      <c r="N50">
        <v>4.7777777777777715</v>
      </c>
      <c r="O50">
        <v>1.8888888888888857</v>
      </c>
      <c r="P50">
        <v>-1.8518518518519045E-2</v>
      </c>
      <c r="Q50">
        <v>0.46296296296296191</v>
      </c>
      <c r="R50">
        <v>1.8518518518518476</v>
      </c>
      <c r="S50">
        <v>2.2407407407407405</v>
      </c>
      <c r="T50">
        <v>-0.90740740740741188</v>
      </c>
      <c r="V50">
        <v>9.7777777777777715</v>
      </c>
      <c r="W50">
        <v>4.7777777777777715</v>
      </c>
      <c r="X50">
        <v>-3.2222222222222285</v>
      </c>
      <c r="Y50">
        <v>1.7777777777777715</v>
      </c>
      <c r="Z50">
        <v>4.7777777777777715</v>
      </c>
      <c r="AA50">
        <v>7.7777777777777715</v>
      </c>
      <c r="AB50">
        <v>0.77777777777777146</v>
      </c>
      <c r="AC50">
        <v>-12.222222222222229</v>
      </c>
      <c r="AD50">
        <v>-14.222222222222229</v>
      </c>
      <c r="AE50">
        <v>10.777777777777771</v>
      </c>
      <c r="AF50">
        <v>12.777777777777771</v>
      </c>
      <c r="AG50">
        <v>-4.2222222222222285</v>
      </c>
      <c r="AH50">
        <v>10.777777777777771</v>
      </c>
      <c r="AI50">
        <v>-9.2222222222222285</v>
      </c>
      <c r="AJ50">
        <v>-12.222222222222229</v>
      </c>
      <c r="AK50">
        <v>-13.222222222222229</v>
      </c>
      <c r="AL50">
        <v>-7.2222222222222285</v>
      </c>
      <c r="AM50">
        <v>6.7777777777777715</v>
      </c>
      <c r="AN50">
        <v>12.777777777777771</v>
      </c>
      <c r="AO50">
        <v>16.777777777777771</v>
      </c>
      <c r="AP50">
        <v>-12.222222222222229</v>
      </c>
      <c r="AQ50">
        <v>-4.2222222222222285</v>
      </c>
      <c r="AR50">
        <v>13.777777777777771</v>
      </c>
      <c r="AS50">
        <v>-20.222222222222229</v>
      </c>
      <c r="AT50">
        <v>-1.2222222222222285</v>
      </c>
      <c r="AU50">
        <v>-1.2222222222222285</v>
      </c>
      <c r="AV50">
        <v>0.77777777777777146</v>
      </c>
    </row>
    <row r="51" spans="3:48" x14ac:dyDescent="0.2">
      <c r="C51">
        <v>0.44444444444444442</v>
      </c>
      <c r="D51">
        <v>168.77777777777777</v>
      </c>
      <c r="E51">
        <v>63.888888888888886</v>
      </c>
      <c r="F51">
        <v>38.981481481481481</v>
      </c>
      <c r="G51">
        <v>73.462962962962962</v>
      </c>
      <c r="H51">
        <v>45.851851851851848</v>
      </c>
      <c r="I51">
        <v>57.24074074074074</v>
      </c>
      <c r="J51">
        <v>43.092592592592588</v>
      </c>
      <c r="M51">
        <v>0.44444444444444442</v>
      </c>
      <c r="N51">
        <v>-3.2222222222222285</v>
      </c>
      <c r="O51">
        <v>-1.1111111111111143</v>
      </c>
      <c r="P51">
        <v>0.98148148148148096</v>
      </c>
      <c r="Q51">
        <v>-1.5370370370370381</v>
      </c>
      <c r="R51">
        <v>-2.1481481481481524</v>
      </c>
      <c r="S51">
        <v>-0.75925925925925952</v>
      </c>
      <c r="T51">
        <v>-0.90740740740741188</v>
      </c>
      <c r="V51">
        <v>14.888888888888886</v>
      </c>
      <c r="W51">
        <v>1.8888888888888857</v>
      </c>
      <c r="X51">
        <v>-1.1111111111111143</v>
      </c>
      <c r="Y51">
        <v>11.888888888888886</v>
      </c>
      <c r="Z51">
        <v>12.888888888888886</v>
      </c>
      <c r="AA51">
        <v>-3.1111111111111143</v>
      </c>
      <c r="AB51">
        <v>15.888888888888886</v>
      </c>
      <c r="AC51">
        <v>-10.111111111111114</v>
      </c>
      <c r="AD51">
        <v>-10.111111111111114</v>
      </c>
      <c r="AE51">
        <v>13.888888888888886</v>
      </c>
      <c r="AF51">
        <v>-1.1111111111111143</v>
      </c>
      <c r="AG51">
        <v>-0.11111111111111427</v>
      </c>
      <c r="AH51">
        <v>20.888888888888886</v>
      </c>
      <c r="AI51">
        <v>-10.111111111111114</v>
      </c>
      <c r="AJ51">
        <v>-12.111111111111114</v>
      </c>
      <c r="AK51">
        <v>-27.111111111111114</v>
      </c>
      <c r="AL51">
        <v>-9.1111111111111143</v>
      </c>
      <c r="AM51">
        <v>-4.1111111111111143</v>
      </c>
      <c r="AN51">
        <v>11.888888888888886</v>
      </c>
      <c r="AO51">
        <v>18.888888888888886</v>
      </c>
      <c r="AP51">
        <v>-16.111111111111114</v>
      </c>
      <c r="AQ51">
        <v>-5.1111111111111143</v>
      </c>
      <c r="AR51">
        <v>10.888888888888886</v>
      </c>
      <c r="AS51">
        <v>-23.111111111111114</v>
      </c>
      <c r="AT51">
        <v>-6.1111111111111143</v>
      </c>
      <c r="AU51">
        <v>-3.1111111111111143</v>
      </c>
      <c r="AV51">
        <v>7.8888888888888857</v>
      </c>
    </row>
    <row r="52" spans="3:48" x14ac:dyDescent="0.2">
      <c r="C52">
        <v>0.44444444444444442</v>
      </c>
      <c r="D52">
        <v>168.77777777777777</v>
      </c>
      <c r="E52">
        <v>63.888888888888886</v>
      </c>
      <c r="F52">
        <v>38.981481481481481</v>
      </c>
      <c r="G52">
        <v>73.462962962962962</v>
      </c>
      <c r="H52">
        <v>45.851851851851848</v>
      </c>
      <c r="I52">
        <v>57.24074074074074</v>
      </c>
      <c r="J52">
        <v>43.092592592592588</v>
      </c>
      <c r="M52">
        <v>0.44444444444444442</v>
      </c>
      <c r="N52">
        <v>1.7777777777777715</v>
      </c>
      <c r="O52">
        <v>11.888888888888886</v>
      </c>
      <c r="P52">
        <v>1.981481481481481</v>
      </c>
      <c r="Q52">
        <v>0.46296296296296191</v>
      </c>
      <c r="R52">
        <v>4.3518518518518476</v>
      </c>
      <c r="S52">
        <v>-0.75925925925925952</v>
      </c>
      <c r="T52">
        <v>-0.90740740740741188</v>
      </c>
      <c r="V52">
        <v>2.981481481481481</v>
      </c>
      <c r="W52">
        <v>-1.8518518518519045E-2</v>
      </c>
      <c r="X52">
        <v>0.98148148148148096</v>
      </c>
      <c r="Y52">
        <v>1.981481481481481</v>
      </c>
      <c r="Z52">
        <v>2.981481481481481</v>
      </c>
      <c r="AA52">
        <v>0.98148148148148096</v>
      </c>
      <c r="AB52">
        <v>-1.8518518518519045E-2</v>
      </c>
      <c r="AC52">
        <v>-4.018518518518519</v>
      </c>
      <c r="AD52">
        <v>-2.018518518518519</v>
      </c>
      <c r="AE52">
        <v>2.981481481481481</v>
      </c>
      <c r="AF52">
        <v>2.981481481481481</v>
      </c>
      <c r="AG52">
        <v>-1.018518518518519</v>
      </c>
      <c r="AH52">
        <v>2.981481481481481</v>
      </c>
      <c r="AI52">
        <v>-3.018518518518519</v>
      </c>
      <c r="AJ52">
        <v>-4.018518518518519</v>
      </c>
      <c r="AK52">
        <v>-2.018518518518519</v>
      </c>
      <c r="AL52">
        <v>-3.018518518518519</v>
      </c>
      <c r="AM52">
        <v>-1.8518518518519045E-2</v>
      </c>
      <c r="AN52">
        <v>2.981481481481481</v>
      </c>
      <c r="AO52">
        <v>4.981481481481481</v>
      </c>
      <c r="AP52">
        <v>-4.018518518518519</v>
      </c>
      <c r="AQ52">
        <v>-2.018518518518519</v>
      </c>
      <c r="AR52">
        <v>2.981481481481481</v>
      </c>
      <c r="AS52">
        <v>-6.018518518518519</v>
      </c>
      <c r="AT52">
        <v>0.98148148148148096</v>
      </c>
      <c r="AU52">
        <v>-1.018518518518519</v>
      </c>
      <c r="AV52">
        <v>1.481481481481481</v>
      </c>
    </row>
    <row r="53" spans="3:48" x14ac:dyDescent="0.2">
      <c r="C53">
        <v>0.44444444444444442</v>
      </c>
      <c r="D53">
        <v>168.77777777777777</v>
      </c>
      <c r="E53">
        <v>63.888888888888886</v>
      </c>
      <c r="F53">
        <v>38.981481481481481</v>
      </c>
      <c r="G53">
        <v>73.462962962962962</v>
      </c>
      <c r="H53">
        <v>45.851851851851848</v>
      </c>
      <c r="I53">
        <v>57.24074074074074</v>
      </c>
      <c r="J53">
        <v>43.092592592592588</v>
      </c>
      <c r="M53">
        <v>0.44444444444444442</v>
      </c>
      <c r="N53">
        <v>4.7777777777777715</v>
      </c>
      <c r="O53">
        <v>12.888888888888886</v>
      </c>
      <c r="P53">
        <v>2.981481481481481</v>
      </c>
      <c r="Q53">
        <v>2.4629629629629619</v>
      </c>
      <c r="R53">
        <v>1.3518518518518476</v>
      </c>
      <c r="S53">
        <v>3.2407407407407405</v>
      </c>
      <c r="T53">
        <v>3.0925925925925881</v>
      </c>
      <c r="V53">
        <v>5.4629629629629619</v>
      </c>
      <c r="W53">
        <v>0.46296296296296191</v>
      </c>
      <c r="X53">
        <v>-1.5370370370370381</v>
      </c>
      <c r="Y53">
        <v>0.46296296296296191</v>
      </c>
      <c r="Z53">
        <v>2.4629629629629619</v>
      </c>
      <c r="AA53">
        <v>2.4629629629629619</v>
      </c>
      <c r="AB53">
        <v>0.96296296296296191</v>
      </c>
      <c r="AC53">
        <v>-0.53703703703703809</v>
      </c>
      <c r="AD53">
        <v>-5.5370370370370381</v>
      </c>
      <c r="AE53">
        <v>4.9629629629629619</v>
      </c>
      <c r="AF53">
        <v>5.4629629629629619</v>
      </c>
      <c r="AG53">
        <v>-5.5370370370370381</v>
      </c>
      <c r="AH53">
        <v>5.4629629629629619</v>
      </c>
      <c r="AI53">
        <v>-1.5370370370370381</v>
      </c>
      <c r="AJ53">
        <v>-9.5370370370370381</v>
      </c>
      <c r="AK53">
        <v>-9.5370370370370381</v>
      </c>
      <c r="AL53">
        <v>-4.5370370370370381</v>
      </c>
      <c r="AM53">
        <v>1.4629629629629619</v>
      </c>
      <c r="AN53">
        <v>6.4629629629629619</v>
      </c>
      <c r="AO53">
        <v>7.4629629629629619</v>
      </c>
      <c r="AP53">
        <v>-2.5370370370370381</v>
      </c>
      <c r="AQ53">
        <v>-0.53703703703703809</v>
      </c>
      <c r="AR53">
        <v>6.4629629629629619</v>
      </c>
      <c r="AS53">
        <v>-8.5370370370370381</v>
      </c>
      <c r="AT53">
        <v>0.46296296296296191</v>
      </c>
      <c r="AU53">
        <v>-3.5370370370370381</v>
      </c>
      <c r="AV53">
        <v>2.9629629629629619</v>
      </c>
    </row>
    <row r="54" spans="3:48" x14ac:dyDescent="0.2">
      <c r="C54">
        <v>0.44444444444444442</v>
      </c>
      <c r="D54">
        <v>168.77777777777777</v>
      </c>
      <c r="E54">
        <v>63.888888888888886</v>
      </c>
      <c r="F54">
        <v>38.981481481481481</v>
      </c>
      <c r="G54">
        <v>73.462962962962962</v>
      </c>
      <c r="H54">
        <v>45.851851851851848</v>
      </c>
      <c r="I54">
        <v>57.24074074074074</v>
      </c>
      <c r="J54">
        <v>43.092592592592588</v>
      </c>
      <c r="M54">
        <v>0.44444444444444442</v>
      </c>
      <c r="N54">
        <v>7.7777777777777715</v>
      </c>
      <c r="O54">
        <v>-3.1111111111111143</v>
      </c>
      <c r="P54">
        <v>0.98148148148148096</v>
      </c>
      <c r="Q54">
        <v>2.4629629629629619</v>
      </c>
      <c r="R54">
        <v>1.8518518518518476</v>
      </c>
      <c r="S54">
        <v>1.2407407407407405</v>
      </c>
      <c r="T54">
        <v>1.0925925925925881</v>
      </c>
      <c r="V54">
        <v>3.8518518518518476</v>
      </c>
      <c r="W54">
        <v>1.8518518518518476</v>
      </c>
      <c r="X54">
        <v>-2.1481481481481524</v>
      </c>
      <c r="Y54">
        <v>4.3518518518518476</v>
      </c>
      <c r="Z54">
        <v>1.3518518518518476</v>
      </c>
      <c r="AA54">
        <v>1.8518518518518476</v>
      </c>
      <c r="AB54">
        <v>4.8518518518518476</v>
      </c>
      <c r="AC54">
        <v>-4.1481481481481524</v>
      </c>
      <c r="AD54">
        <v>-1.6481481481481524</v>
      </c>
      <c r="AE54">
        <v>1.8518518518518476</v>
      </c>
      <c r="AF54">
        <v>-0.14814814814815236</v>
      </c>
      <c r="AG54">
        <v>-2.1481481481481524</v>
      </c>
      <c r="AH54">
        <v>2.8518518518518476</v>
      </c>
      <c r="AI54">
        <v>-4.1481481481481524</v>
      </c>
      <c r="AJ54">
        <v>-5.1481481481481524</v>
      </c>
      <c r="AK54">
        <v>-7.1481481481481524</v>
      </c>
      <c r="AL54">
        <v>-2.1481481481481524</v>
      </c>
      <c r="AM54">
        <v>1.8518518518518476</v>
      </c>
      <c r="AN54">
        <v>9.8518518518518476</v>
      </c>
      <c r="AO54">
        <v>5.8518518518518476</v>
      </c>
      <c r="AP54">
        <v>-3.1481481481481524</v>
      </c>
      <c r="AQ54">
        <v>-2.1481481481481524</v>
      </c>
      <c r="AR54">
        <v>2.8518518518518476</v>
      </c>
      <c r="AS54">
        <v>-7.1481481481481524</v>
      </c>
      <c r="AT54">
        <v>0.85185185185184764</v>
      </c>
      <c r="AU54">
        <v>-0.64814814814815236</v>
      </c>
      <c r="AV54">
        <v>-2.1481481481481524</v>
      </c>
    </row>
    <row r="55" spans="3:48" x14ac:dyDescent="0.2">
      <c r="C55">
        <v>0.44444444444444442</v>
      </c>
      <c r="D55">
        <v>168.77777777777777</v>
      </c>
      <c r="E55">
        <v>63.888888888888886</v>
      </c>
      <c r="F55">
        <v>38.981481481481481</v>
      </c>
      <c r="G55">
        <v>73.462962962962962</v>
      </c>
      <c r="H55">
        <v>45.851851851851848</v>
      </c>
      <c r="I55">
        <v>57.24074074074074</v>
      </c>
      <c r="J55">
        <v>43.092592592592588</v>
      </c>
      <c r="M55">
        <v>0.44444444444444442</v>
      </c>
      <c r="N55">
        <v>0.77777777777777146</v>
      </c>
      <c r="O55">
        <v>15.888888888888886</v>
      </c>
      <c r="P55">
        <v>-1.8518518518519045E-2</v>
      </c>
      <c r="Q55">
        <v>0.96296296296296191</v>
      </c>
      <c r="R55">
        <v>4.8518518518518476</v>
      </c>
      <c r="S55">
        <v>2.7407407407407405</v>
      </c>
      <c r="T55">
        <v>9.2592592592588119E-2</v>
      </c>
      <c r="V55">
        <v>0.24074074074074048</v>
      </c>
      <c r="W55">
        <v>2.2407407407407405</v>
      </c>
      <c r="X55">
        <v>-0.75925925925925952</v>
      </c>
      <c r="Y55">
        <v>-0.75925925925925952</v>
      </c>
      <c r="Z55">
        <v>3.2407407407407405</v>
      </c>
      <c r="AA55">
        <v>1.2407407407407405</v>
      </c>
      <c r="AB55">
        <v>2.7407407407407405</v>
      </c>
      <c r="AC55">
        <v>-2.7592592592592595</v>
      </c>
      <c r="AD55">
        <v>-2.2592592592592595</v>
      </c>
      <c r="AE55">
        <v>0.24074074074074048</v>
      </c>
      <c r="AF55">
        <v>-0.75925925925925952</v>
      </c>
      <c r="AG55">
        <v>0.74074074074074048</v>
      </c>
      <c r="AH55">
        <v>2.2407407407407405</v>
      </c>
      <c r="AI55">
        <v>-1.7592592592592595</v>
      </c>
      <c r="AJ55">
        <v>0.24074074074074048</v>
      </c>
      <c r="AK55">
        <v>-1.7592592592592595</v>
      </c>
      <c r="AL55">
        <v>-0.75925925925925952</v>
      </c>
      <c r="AM55">
        <v>-1.7592592592592595</v>
      </c>
      <c r="AN55">
        <v>1.2407407407407405</v>
      </c>
      <c r="AO55">
        <v>2.2407407407407405</v>
      </c>
      <c r="AP55">
        <v>0.24074074074074048</v>
      </c>
      <c r="AQ55">
        <v>1.2407407407407405</v>
      </c>
      <c r="AR55">
        <v>1.2407407407407405</v>
      </c>
      <c r="AS55">
        <v>-3.7592592592592595</v>
      </c>
      <c r="AT55">
        <v>1.2407407407407405</v>
      </c>
      <c r="AU55">
        <v>-0.75925925925925952</v>
      </c>
      <c r="AV55">
        <v>-2.7592592592592595</v>
      </c>
    </row>
    <row r="56" spans="3:48" x14ac:dyDescent="0.2">
      <c r="C56">
        <v>0.44444444444444442</v>
      </c>
      <c r="D56">
        <v>168.77777777777777</v>
      </c>
      <c r="E56">
        <v>63.888888888888886</v>
      </c>
      <c r="F56">
        <v>38.981481481481481</v>
      </c>
      <c r="G56">
        <v>73.462962962962962</v>
      </c>
      <c r="H56">
        <v>45.851851851851848</v>
      </c>
      <c r="I56">
        <v>57.24074074074074</v>
      </c>
      <c r="J56">
        <v>43.092592592592588</v>
      </c>
      <c r="M56">
        <v>-0.55555555555555558</v>
      </c>
      <c r="N56">
        <v>-12.222222222222229</v>
      </c>
      <c r="O56">
        <v>-10.111111111111114</v>
      </c>
      <c r="P56">
        <v>-4.018518518518519</v>
      </c>
      <c r="Q56">
        <v>-0.53703703703703809</v>
      </c>
      <c r="R56">
        <v>-4.1481481481481524</v>
      </c>
      <c r="S56">
        <v>-2.7592592592592595</v>
      </c>
      <c r="T56">
        <v>-3.9074074074074119</v>
      </c>
      <c r="V56">
        <v>3.0925925925925881</v>
      </c>
      <c r="W56">
        <v>-0.90740740740741188</v>
      </c>
      <c r="X56">
        <v>-0.90740740740741188</v>
      </c>
      <c r="Y56">
        <v>-0.90740740740741188</v>
      </c>
      <c r="Z56">
        <v>3.0925925925925881</v>
      </c>
      <c r="AA56">
        <v>1.0925925925925881</v>
      </c>
      <c r="AB56">
        <v>9.2592592592588119E-2</v>
      </c>
      <c r="AC56">
        <v>-3.9074074074074119</v>
      </c>
      <c r="AD56">
        <v>-3.9074074074074119</v>
      </c>
      <c r="AE56">
        <v>2.0925925925925881</v>
      </c>
      <c r="AF56">
        <v>2.0925925925925881</v>
      </c>
      <c r="AG56">
        <v>-3.9074074074074119</v>
      </c>
      <c r="AH56">
        <v>4.0925925925925881</v>
      </c>
      <c r="AI56">
        <v>-1.9074074074074119</v>
      </c>
      <c r="AJ56">
        <v>9.2592592592588119E-2</v>
      </c>
      <c r="AK56">
        <v>9.2592592592588119E-2</v>
      </c>
      <c r="AL56">
        <v>-1.9074074074074119</v>
      </c>
      <c r="AM56">
        <v>1.0925925925925881</v>
      </c>
      <c r="AN56">
        <v>2.0925925925925881</v>
      </c>
      <c r="AO56">
        <v>5.0925925925925881</v>
      </c>
      <c r="AP56">
        <v>-2.9074074074074119</v>
      </c>
      <c r="AQ56">
        <v>-0.90740740740741188</v>
      </c>
      <c r="AR56">
        <v>5.0925925925925881</v>
      </c>
      <c r="AS56">
        <v>-8.9074074074074119</v>
      </c>
      <c r="AT56">
        <v>9.2592592592588119E-2</v>
      </c>
      <c r="AU56">
        <v>-1.4074074074074119</v>
      </c>
      <c r="AV56">
        <v>3.0925925925925881</v>
      </c>
    </row>
    <row r="57" spans="3:48" x14ac:dyDescent="0.2">
      <c r="C57">
        <v>0.44444444444444442</v>
      </c>
      <c r="D57">
        <v>168.77777777777777</v>
      </c>
      <c r="E57">
        <v>63.888888888888886</v>
      </c>
      <c r="F57">
        <v>38.981481481481481</v>
      </c>
      <c r="G57">
        <v>73.462962962962962</v>
      </c>
      <c r="H57">
        <v>45.851851851851848</v>
      </c>
      <c r="I57">
        <v>57.24074074074074</v>
      </c>
      <c r="J57">
        <v>43.092592592592588</v>
      </c>
      <c r="M57">
        <v>-0.55555555555555558</v>
      </c>
      <c r="N57">
        <v>-14.222222222222229</v>
      </c>
      <c r="O57">
        <v>-10.111111111111114</v>
      </c>
      <c r="P57">
        <v>-2.018518518518519</v>
      </c>
      <c r="Q57">
        <v>-5.5370370370370381</v>
      </c>
      <c r="R57">
        <v>-1.6481481481481524</v>
      </c>
      <c r="S57">
        <v>-2.2592592592592595</v>
      </c>
      <c r="T57">
        <v>-3.9074074074074119</v>
      </c>
    </row>
    <row r="58" spans="3:48" x14ac:dyDescent="0.2">
      <c r="C58">
        <v>0.44444444444444442</v>
      </c>
      <c r="D58">
        <v>168.77777777777777</v>
      </c>
      <c r="E58">
        <v>63.888888888888886</v>
      </c>
      <c r="F58">
        <v>38.981481481481481</v>
      </c>
      <c r="G58">
        <v>73.462962962962962</v>
      </c>
      <c r="H58">
        <v>45.851851851851848</v>
      </c>
      <c r="I58">
        <v>57.24074074074074</v>
      </c>
      <c r="J58">
        <v>43.092592592592588</v>
      </c>
      <c r="M58">
        <v>0.44444444444444442</v>
      </c>
      <c r="N58">
        <v>10.777777777777771</v>
      </c>
      <c r="O58">
        <v>13.888888888888886</v>
      </c>
      <c r="P58">
        <v>2.981481481481481</v>
      </c>
      <c r="Q58">
        <v>4.9629629629629619</v>
      </c>
      <c r="R58">
        <v>1.8518518518518476</v>
      </c>
      <c r="S58">
        <v>0.24074074074074048</v>
      </c>
      <c r="T58">
        <v>2.0925925925925881</v>
      </c>
    </row>
    <row r="59" spans="3:48" x14ac:dyDescent="0.2">
      <c r="C59">
        <v>0.44444444444444442</v>
      </c>
      <c r="D59">
        <v>168.77777777777777</v>
      </c>
      <c r="E59">
        <v>63.888888888888886</v>
      </c>
      <c r="F59">
        <v>38.981481481481481</v>
      </c>
      <c r="G59">
        <v>73.462962962962962</v>
      </c>
      <c r="H59">
        <v>45.851851851851848</v>
      </c>
      <c r="I59">
        <v>57.24074074074074</v>
      </c>
      <c r="J59">
        <v>43.092592592592588</v>
      </c>
      <c r="M59">
        <v>0.44444444444444442</v>
      </c>
      <c r="N59">
        <v>12.777777777777771</v>
      </c>
      <c r="O59">
        <v>-1.1111111111111143</v>
      </c>
      <c r="P59">
        <v>2.981481481481481</v>
      </c>
      <c r="Q59">
        <v>5.4629629629629619</v>
      </c>
      <c r="R59">
        <v>-0.14814814814815236</v>
      </c>
      <c r="S59">
        <v>-0.75925925925925952</v>
      </c>
      <c r="T59">
        <v>2.0925925925925881</v>
      </c>
      <c r="V59" cm="1">
        <f t="array" ref="V59:AC66">+MMULT(_xlfn.ANCHORARRAY(V49),_xlfn.ANCHORARRAY(M49))</f>
        <v>6.666666666666667</v>
      </c>
      <c r="W59">
        <v>105.66666666666666</v>
      </c>
      <c r="X59">
        <v>124.33333333333333</v>
      </c>
      <c r="Y59">
        <v>32.222222222222214</v>
      </c>
      <c r="Z59">
        <v>51.44444444444445</v>
      </c>
      <c r="AA59">
        <v>37.777777777777779</v>
      </c>
      <c r="AB59">
        <v>9.1111111111111107</v>
      </c>
      <c r="AC59">
        <v>30.388888888888893</v>
      </c>
    </row>
    <row r="60" spans="3:48" x14ac:dyDescent="0.2">
      <c r="C60">
        <v>0.44444444444444442</v>
      </c>
      <c r="D60">
        <v>168.77777777777777</v>
      </c>
      <c r="E60">
        <v>63.888888888888886</v>
      </c>
      <c r="F60">
        <v>38.981481481481481</v>
      </c>
      <c r="G60">
        <v>73.462962962962962</v>
      </c>
      <c r="H60">
        <v>45.851851851851848</v>
      </c>
      <c r="I60">
        <v>57.24074074074074</v>
      </c>
      <c r="J60">
        <v>43.092592592592588</v>
      </c>
      <c r="M60">
        <v>-0.55555555555555558</v>
      </c>
      <c r="N60">
        <v>-4.2222222222222285</v>
      </c>
      <c r="O60">
        <v>-0.11111111111111427</v>
      </c>
      <c r="P60">
        <v>-1.018518518518519</v>
      </c>
      <c r="Q60">
        <v>-5.5370370370370381</v>
      </c>
      <c r="R60">
        <v>-2.1481481481481524</v>
      </c>
      <c r="S60">
        <v>0.74074074074074048</v>
      </c>
      <c r="T60">
        <v>-3.9074074074074119</v>
      </c>
      <c r="V60">
        <v>105.66666666666666</v>
      </c>
      <c r="W60">
        <v>2702.6666666666665</v>
      </c>
      <c r="X60">
        <v>2817.333333333333</v>
      </c>
      <c r="Y60">
        <v>704.38888888888903</v>
      </c>
      <c r="Z60">
        <v>1192.2777777777781</v>
      </c>
      <c r="AA60">
        <v>895.11111111111097</v>
      </c>
      <c r="AB60">
        <v>286.94444444444446</v>
      </c>
      <c r="AC60">
        <v>706.05555555555554</v>
      </c>
    </row>
    <row r="61" spans="3:48" x14ac:dyDescent="0.2">
      <c r="C61">
        <v>0.44444444444444442</v>
      </c>
      <c r="D61">
        <v>168.77777777777777</v>
      </c>
      <c r="E61">
        <v>63.888888888888886</v>
      </c>
      <c r="F61">
        <v>38.981481481481481</v>
      </c>
      <c r="G61">
        <v>73.462962962962962</v>
      </c>
      <c r="H61">
        <v>45.851851851851848</v>
      </c>
      <c r="I61">
        <v>57.24074074074074</v>
      </c>
      <c r="J61">
        <v>43.092592592592588</v>
      </c>
      <c r="M61">
        <v>0.44444444444444442</v>
      </c>
      <c r="N61">
        <v>10.777777777777771</v>
      </c>
      <c r="O61">
        <v>20.888888888888886</v>
      </c>
      <c r="P61">
        <v>2.981481481481481</v>
      </c>
      <c r="Q61">
        <v>5.4629629629629619</v>
      </c>
      <c r="R61">
        <v>2.8518518518518476</v>
      </c>
      <c r="S61">
        <v>2.2407407407407405</v>
      </c>
      <c r="T61">
        <v>4.0925925925925881</v>
      </c>
      <c r="V61">
        <v>124.33333333333333</v>
      </c>
      <c r="W61">
        <v>2817.333333333333</v>
      </c>
      <c r="X61">
        <v>4260.6666666666661</v>
      </c>
      <c r="Y61">
        <v>809.94444444444446</v>
      </c>
      <c r="Z61">
        <v>1353.3888888888889</v>
      </c>
      <c r="AA61">
        <v>1123.5555555555554</v>
      </c>
      <c r="AB61">
        <v>379.72222222222223</v>
      </c>
      <c r="AC61">
        <v>754.77777777777783</v>
      </c>
    </row>
    <row r="62" spans="3:48" x14ac:dyDescent="0.2">
      <c r="C62">
        <v>0.44444444444444442</v>
      </c>
      <c r="D62">
        <v>168.77777777777777</v>
      </c>
      <c r="E62">
        <v>63.888888888888886</v>
      </c>
      <c r="F62">
        <v>38.981481481481481</v>
      </c>
      <c r="G62">
        <v>73.462962962962962</v>
      </c>
      <c r="H62">
        <v>45.851851851851848</v>
      </c>
      <c r="I62">
        <v>57.24074074074074</v>
      </c>
      <c r="J62">
        <v>43.092592592592588</v>
      </c>
      <c r="M62">
        <v>-0.55555555555555558</v>
      </c>
      <c r="N62">
        <v>-9.2222222222222285</v>
      </c>
      <c r="O62">
        <v>-10.111111111111114</v>
      </c>
      <c r="P62">
        <v>-3.018518518518519</v>
      </c>
      <c r="Q62">
        <v>-1.5370370370370381</v>
      </c>
      <c r="R62">
        <v>-4.1481481481481524</v>
      </c>
      <c r="S62">
        <v>-1.7592592592592595</v>
      </c>
      <c r="T62">
        <v>-1.9074074074074119</v>
      </c>
      <c r="V62">
        <v>32.222222222222214</v>
      </c>
      <c r="W62">
        <v>704.38888888888903</v>
      </c>
      <c r="X62">
        <v>809.94444444444446</v>
      </c>
      <c r="Y62">
        <v>213.24074074074079</v>
      </c>
      <c r="Z62">
        <v>314.48148148148147</v>
      </c>
      <c r="AA62">
        <v>238.92592592592592</v>
      </c>
      <c r="AB62">
        <v>75.120370370370367</v>
      </c>
      <c r="AC62">
        <v>200.04629629629628</v>
      </c>
    </row>
    <row r="63" spans="3:48" x14ac:dyDescent="0.2">
      <c r="C63">
        <v>0.44444444444444442</v>
      </c>
      <c r="D63">
        <v>168.77777777777777</v>
      </c>
      <c r="E63">
        <v>63.888888888888886</v>
      </c>
      <c r="F63">
        <v>38.981481481481481</v>
      </c>
      <c r="G63">
        <v>73.462962962962962</v>
      </c>
      <c r="H63">
        <v>45.851851851851848</v>
      </c>
      <c r="I63">
        <v>57.24074074074074</v>
      </c>
      <c r="J63">
        <v>43.092592592592588</v>
      </c>
      <c r="M63">
        <v>-0.55555555555555558</v>
      </c>
      <c r="N63">
        <v>-12.222222222222229</v>
      </c>
      <c r="O63">
        <v>-12.111111111111114</v>
      </c>
      <c r="P63">
        <v>-4.018518518518519</v>
      </c>
      <c r="Q63">
        <v>-9.5370370370370381</v>
      </c>
      <c r="R63">
        <v>-5.1481481481481524</v>
      </c>
      <c r="S63">
        <v>0.24074074074074048</v>
      </c>
      <c r="T63">
        <v>9.2592592592588119E-2</v>
      </c>
      <c r="V63">
        <v>51.44444444444445</v>
      </c>
      <c r="W63">
        <v>1192.2777777777781</v>
      </c>
      <c r="X63">
        <v>1353.3888888888889</v>
      </c>
      <c r="Y63">
        <v>314.48148148148147</v>
      </c>
      <c r="Z63">
        <v>638.96296296296282</v>
      </c>
      <c r="AA63">
        <v>415.35185185185196</v>
      </c>
      <c r="AB63">
        <v>112.74074074074073</v>
      </c>
      <c r="AC63">
        <v>311.34259259259255</v>
      </c>
    </row>
    <row r="64" spans="3:48" x14ac:dyDescent="0.2">
      <c r="C64">
        <v>0.44444444444444442</v>
      </c>
      <c r="D64">
        <v>168.77777777777777</v>
      </c>
      <c r="E64">
        <v>63.888888888888886</v>
      </c>
      <c r="F64">
        <v>38.981481481481481</v>
      </c>
      <c r="G64">
        <v>73.462962962962962</v>
      </c>
      <c r="H64">
        <v>45.851851851851848</v>
      </c>
      <c r="I64">
        <v>57.24074074074074</v>
      </c>
      <c r="J64">
        <v>43.092592592592588</v>
      </c>
      <c r="M64">
        <v>-0.55555555555555558</v>
      </c>
      <c r="N64">
        <v>-13.222222222222229</v>
      </c>
      <c r="O64">
        <v>-27.111111111111114</v>
      </c>
      <c r="P64">
        <v>-2.018518518518519</v>
      </c>
      <c r="Q64">
        <v>-9.5370370370370381</v>
      </c>
      <c r="R64">
        <v>-7.1481481481481524</v>
      </c>
      <c r="S64">
        <v>-1.7592592592592595</v>
      </c>
      <c r="T64">
        <v>9.2592592592588119E-2</v>
      </c>
      <c r="V64">
        <v>37.777777777777779</v>
      </c>
      <c r="W64">
        <v>895.11111111111097</v>
      </c>
      <c r="X64">
        <v>1123.5555555555554</v>
      </c>
      <c r="Y64">
        <v>238.92592592592592</v>
      </c>
      <c r="Z64">
        <v>415.35185185185196</v>
      </c>
      <c r="AA64">
        <v>420.40740740740733</v>
      </c>
      <c r="AB64">
        <v>120.71296296296299</v>
      </c>
      <c r="AC64">
        <v>208.12037037037035</v>
      </c>
    </row>
    <row r="65" spans="3:29" x14ac:dyDescent="0.2">
      <c r="C65">
        <v>0.44444444444444442</v>
      </c>
      <c r="D65">
        <v>168.77777777777777</v>
      </c>
      <c r="E65">
        <v>63.888888888888886</v>
      </c>
      <c r="F65">
        <v>38.981481481481481</v>
      </c>
      <c r="G65">
        <v>73.462962962962962</v>
      </c>
      <c r="H65">
        <v>45.851851851851848</v>
      </c>
      <c r="I65">
        <v>57.24074074074074</v>
      </c>
      <c r="J65">
        <v>43.092592592592588</v>
      </c>
      <c r="M65">
        <v>-0.55555555555555558</v>
      </c>
      <c r="N65">
        <v>-7.2222222222222285</v>
      </c>
      <c r="O65">
        <v>-9.1111111111111143</v>
      </c>
      <c r="P65">
        <v>-3.018518518518519</v>
      </c>
      <c r="Q65">
        <v>-4.5370370370370381</v>
      </c>
      <c r="R65">
        <v>-2.1481481481481524</v>
      </c>
      <c r="S65">
        <v>-0.75925925925925952</v>
      </c>
      <c r="T65">
        <v>-1.9074074074074119</v>
      </c>
      <c r="V65">
        <v>9.1111111111111107</v>
      </c>
      <c r="W65">
        <v>286.94444444444446</v>
      </c>
      <c r="X65">
        <v>379.72222222222223</v>
      </c>
      <c r="Y65">
        <v>75.120370370370367</v>
      </c>
      <c r="Z65">
        <v>112.74074074074073</v>
      </c>
      <c r="AA65">
        <v>120.71296296296299</v>
      </c>
      <c r="AB65">
        <v>88.185185185185134</v>
      </c>
      <c r="AC65">
        <v>83.89814814814811</v>
      </c>
    </row>
    <row r="66" spans="3:29" x14ac:dyDescent="0.2">
      <c r="C66">
        <v>0.44444444444444442</v>
      </c>
      <c r="D66">
        <v>168.77777777777777</v>
      </c>
      <c r="E66">
        <v>63.888888888888886</v>
      </c>
      <c r="F66">
        <v>38.981481481481481</v>
      </c>
      <c r="G66">
        <v>73.462962962962962</v>
      </c>
      <c r="H66">
        <v>45.851851851851848</v>
      </c>
      <c r="I66">
        <v>57.24074074074074</v>
      </c>
      <c r="J66">
        <v>43.092592592592588</v>
      </c>
      <c r="M66">
        <v>0.44444444444444442</v>
      </c>
      <c r="N66">
        <v>6.7777777777777715</v>
      </c>
      <c r="O66">
        <v>-4.1111111111111143</v>
      </c>
      <c r="P66">
        <v>-1.8518518518519045E-2</v>
      </c>
      <c r="Q66">
        <v>1.4629629629629619</v>
      </c>
      <c r="R66">
        <v>1.8518518518518476</v>
      </c>
      <c r="S66">
        <v>-1.7592592592592595</v>
      </c>
      <c r="T66">
        <v>1.0925925925925881</v>
      </c>
      <c r="V66">
        <v>30.388888888888893</v>
      </c>
      <c r="W66">
        <v>706.05555555555554</v>
      </c>
      <c r="X66">
        <v>754.77777777777783</v>
      </c>
      <c r="Y66">
        <v>200.04629629629628</v>
      </c>
      <c r="Z66">
        <v>311.34259259259255</v>
      </c>
      <c r="AA66">
        <v>208.12037037037035</v>
      </c>
      <c r="AB66">
        <v>83.89814814814811</v>
      </c>
      <c r="AC66">
        <v>259.01851851851848</v>
      </c>
    </row>
    <row r="67" spans="3:29" x14ac:dyDescent="0.2">
      <c r="C67">
        <v>0.44444444444444442</v>
      </c>
      <c r="D67">
        <v>168.77777777777777</v>
      </c>
      <c r="E67">
        <v>63.888888888888886</v>
      </c>
      <c r="F67">
        <v>38.981481481481481</v>
      </c>
      <c r="G67">
        <v>73.462962962962962</v>
      </c>
      <c r="H67">
        <v>45.851851851851848</v>
      </c>
      <c r="I67">
        <v>57.24074074074074</v>
      </c>
      <c r="J67">
        <v>43.092592592592588</v>
      </c>
      <c r="M67">
        <v>0.44444444444444442</v>
      </c>
      <c r="N67">
        <v>12.777777777777771</v>
      </c>
      <c r="O67">
        <v>11.888888888888886</v>
      </c>
      <c r="P67">
        <v>2.981481481481481</v>
      </c>
      <c r="Q67">
        <v>6.4629629629629619</v>
      </c>
      <c r="R67">
        <v>9.8518518518518476</v>
      </c>
      <c r="S67">
        <v>1.2407407407407405</v>
      </c>
      <c r="T67">
        <v>2.0925925925925881</v>
      </c>
    </row>
    <row r="68" spans="3:29" x14ac:dyDescent="0.2">
      <c r="C68">
        <v>0.44444444444444442</v>
      </c>
      <c r="D68">
        <v>168.77777777777777</v>
      </c>
      <c r="E68">
        <v>63.888888888888886</v>
      </c>
      <c r="F68">
        <v>38.981481481481481</v>
      </c>
      <c r="G68">
        <v>73.462962962962962</v>
      </c>
      <c r="H68">
        <v>45.851851851851848</v>
      </c>
      <c r="I68">
        <v>57.24074074074074</v>
      </c>
      <c r="J68">
        <v>43.092592592592588</v>
      </c>
      <c r="M68">
        <v>0.44444444444444442</v>
      </c>
      <c r="N68">
        <v>16.777777777777771</v>
      </c>
      <c r="O68">
        <v>18.888888888888886</v>
      </c>
      <c r="P68">
        <v>4.981481481481481</v>
      </c>
      <c r="Q68">
        <v>7.4629629629629619</v>
      </c>
      <c r="R68">
        <v>5.8518518518518476</v>
      </c>
      <c r="S68">
        <v>2.2407407407407405</v>
      </c>
      <c r="T68">
        <v>5.0925925925925881</v>
      </c>
      <c r="V68" s="7" cm="1">
        <f t="array" ref="V68:AC75">D80*_xlfn.ANCHORARRAY(V59)</f>
        <v>0.25641025641025644</v>
      </c>
      <c r="W68" s="7">
        <v>4.0641025641025639</v>
      </c>
      <c r="X68" s="7">
        <v>4.7820512820512819</v>
      </c>
      <c r="Y68" s="7">
        <v>1.2393162393162391</v>
      </c>
      <c r="Z68" s="7">
        <v>1.9786324786324789</v>
      </c>
      <c r="AA68" s="7">
        <v>1.4529914529914532</v>
      </c>
      <c r="AB68" s="7">
        <v>0.35042735042735046</v>
      </c>
      <c r="AC68" s="7">
        <v>1.1688034188034191</v>
      </c>
    </row>
    <row r="69" spans="3:29" x14ac:dyDescent="0.2">
      <c r="C69">
        <v>0.44444444444444442</v>
      </c>
      <c r="D69">
        <v>168.77777777777777</v>
      </c>
      <c r="E69">
        <v>63.888888888888886</v>
      </c>
      <c r="F69">
        <v>38.981481481481481</v>
      </c>
      <c r="G69">
        <v>73.462962962962962</v>
      </c>
      <c r="H69">
        <v>45.851851851851848</v>
      </c>
      <c r="I69">
        <v>57.24074074074074</v>
      </c>
      <c r="J69">
        <v>43.092592592592588</v>
      </c>
      <c r="M69">
        <v>-0.55555555555555558</v>
      </c>
      <c r="N69">
        <v>-12.222222222222229</v>
      </c>
      <c r="O69">
        <v>-16.111111111111114</v>
      </c>
      <c r="P69">
        <v>-4.018518518518519</v>
      </c>
      <c r="Q69">
        <v>-2.5370370370370381</v>
      </c>
      <c r="R69">
        <v>-3.1481481481481524</v>
      </c>
      <c r="S69">
        <v>0.24074074074074048</v>
      </c>
      <c r="T69">
        <v>-2.9074074074074119</v>
      </c>
      <c r="V69" s="7">
        <v>4.0641025641025639</v>
      </c>
      <c r="W69" s="7">
        <v>103.94871794871794</v>
      </c>
      <c r="X69" s="7">
        <v>108.35897435897435</v>
      </c>
      <c r="Y69" s="7">
        <v>27.091880341880348</v>
      </c>
      <c r="Z69" s="7">
        <v>45.856837606837622</v>
      </c>
      <c r="AA69" s="7">
        <v>34.427350427350426</v>
      </c>
      <c r="AB69" s="7">
        <v>11.036324786324787</v>
      </c>
      <c r="AC69" s="7">
        <v>27.155982905982906</v>
      </c>
    </row>
    <row r="70" spans="3:29" x14ac:dyDescent="0.2">
      <c r="C70">
        <v>0.44444444444444442</v>
      </c>
      <c r="D70">
        <v>168.77777777777777</v>
      </c>
      <c r="E70">
        <v>63.888888888888886</v>
      </c>
      <c r="F70">
        <v>38.981481481481481</v>
      </c>
      <c r="G70">
        <v>73.462962962962962</v>
      </c>
      <c r="H70">
        <v>45.851851851851848</v>
      </c>
      <c r="I70">
        <v>57.24074074074074</v>
      </c>
      <c r="J70">
        <v>43.092592592592588</v>
      </c>
      <c r="M70">
        <v>-0.55555555555555558</v>
      </c>
      <c r="N70">
        <v>-4.2222222222222285</v>
      </c>
      <c r="O70">
        <v>-5.1111111111111143</v>
      </c>
      <c r="P70">
        <v>-2.018518518518519</v>
      </c>
      <c r="Q70">
        <v>-0.53703703703703809</v>
      </c>
      <c r="R70">
        <v>-2.1481481481481524</v>
      </c>
      <c r="S70">
        <v>1.2407407407407405</v>
      </c>
      <c r="T70">
        <v>-0.90740740740741188</v>
      </c>
      <c r="V70" s="7">
        <v>4.7820512820512819</v>
      </c>
      <c r="W70" s="7">
        <v>108.35897435897435</v>
      </c>
      <c r="X70" s="7">
        <v>163.87179487179486</v>
      </c>
      <c r="Y70" s="7">
        <v>31.151709401709404</v>
      </c>
      <c r="Z70" s="7">
        <v>52.053418803418808</v>
      </c>
      <c r="AA70" s="7">
        <v>43.213675213675209</v>
      </c>
      <c r="AB70" s="7">
        <v>14.604700854700855</v>
      </c>
      <c r="AC70" s="7">
        <v>29.029914529914535</v>
      </c>
    </row>
    <row r="71" spans="3:29" x14ac:dyDescent="0.2">
      <c r="C71">
        <v>0.44444444444444442</v>
      </c>
      <c r="D71">
        <v>168.77777777777777</v>
      </c>
      <c r="E71">
        <v>63.888888888888886</v>
      </c>
      <c r="F71">
        <v>38.981481481481481</v>
      </c>
      <c r="G71">
        <v>73.462962962962962</v>
      </c>
      <c r="H71">
        <v>45.851851851851848</v>
      </c>
      <c r="I71">
        <v>57.24074074074074</v>
      </c>
      <c r="J71">
        <v>43.092592592592588</v>
      </c>
      <c r="M71">
        <v>0.44444444444444442</v>
      </c>
      <c r="N71">
        <v>13.777777777777771</v>
      </c>
      <c r="O71">
        <v>10.888888888888886</v>
      </c>
      <c r="P71">
        <v>2.981481481481481</v>
      </c>
      <c r="Q71">
        <v>6.4629629629629619</v>
      </c>
      <c r="R71">
        <v>2.8518518518518476</v>
      </c>
      <c r="S71">
        <v>1.2407407407407405</v>
      </c>
      <c r="T71">
        <v>5.0925925925925881</v>
      </c>
      <c r="V71" s="7">
        <v>1.2393162393162391</v>
      </c>
      <c r="W71" s="7">
        <v>27.091880341880348</v>
      </c>
      <c r="X71" s="7">
        <v>31.151709401709404</v>
      </c>
      <c r="Y71" s="7">
        <v>8.2015669515669547</v>
      </c>
      <c r="Z71" s="7">
        <v>12.095441595441596</v>
      </c>
      <c r="AA71" s="7">
        <v>9.1894586894586894</v>
      </c>
      <c r="AB71" s="7">
        <v>2.8892450142450143</v>
      </c>
      <c r="AC71" s="7">
        <v>7.6940883190883191</v>
      </c>
    </row>
    <row r="72" spans="3:29" x14ac:dyDescent="0.2">
      <c r="C72">
        <v>0.44444444444444442</v>
      </c>
      <c r="D72">
        <v>168.77777777777777</v>
      </c>
      <c r="E72">
        <v>63.888888888888886</v>
      </c>
      <c r="F72">
        <v>38.981481481481481</v>
      </c>
      <c r="G72">
        <v>73.462962962962962</v>
      </c>
      <c r="H72">
        <v>45.851851851851848</v>
      </c>
      <c r="I72">
        <v>57.24074074074074</v>
      </c>
      <c r="J72">
        <v>43.092592592592588</v>
      </c>
      <c r="M72">
        <v>-0.55555555555555558</v>
      </c>
      <c r="N72">
        <v>-20.222222222222229</v>
      </c>
      <c r="O72">
        <v>-23.111111111111114</v>
      </c>
      <c r="P72">
        <v>-6.018518518518519</v>
      </c>
      <c r="Q72">
        <v>-8.5370370370370381</v>
      </c>
      <c r="R72">
        <v>-7.1481481481481524</v>
      </c>
      <c r="S72">
        <v>-3.7592592592592595</v>
      </c>
      <c r="T72">
        <v>-8.9074074074074119</v>
      </c>
      <c r="V72" s="7">
        <v>1.9786324786324789</v>
      </c>
      <c r="W72" s="7">
        <v>45.856837606837622</v>
      </c>
      <c r="X72" s="7">
        <v>52.053418803418808</v>
      </c>
      <c r="Y72" s="7">
        <v>12.095441595441596</v>
      </c>
      <c r="Z72" s="7">
        <v>24.575498575498571</v>
      </c>
      <c r="AA72" s="7">
        <v>15.975071225071231</v>
      </c>
      <c r="AB72" s="7">
        <v>4.3361823361823362</v>
      </c>
      <c r="AC72" s="7">
        <v>11.974715099715098</v>
      </c>
    </row>
    <row r="73" spans="3:29" x14ac:dyDescent="0.2">
      <c r="C73">
        <v>0.44444444444444442</v>
      </c>
      <c r="D73">
        <v>168.77777777777777</v>
      </c>
      <c r="E73">
        <v>63.888888888888886</v>
      </c>
      <c r="F73">
        <v>38.981481481481481</v>
      </c>
      <c r="G73">
        <v>73.462962962962962</v>
      </c>
      <c r="H73">
        <v>45.851851851851848</v>
      </c>
      <c r="I73">
        <v>57.24074074074074</v>
      </c>
      <c r="J73">
        <v>43.092592592592588</v>
      </c>
      <c r="M73">
        <v>0.44444444444444442</v>
      </c>
      <c r="N73">
        <v>-1.2222222222222285</v>
      </c>
      <c r="O73">
        <v>-6.1111111111111143</v>
      </c>
      <c r="P73">
        <v>0.98148148148148096</v>
      </c>
      <c r="Q73">
        <v>0.46296296296296191</v>
      </c>
      <c r="R73">
        <v>0.85185185185184764</v>
      </c>
      <c r="S73">
        <v>1.2407407407407405</v>
      </c>
      <c r="T73">
        <v>9.2592592592588119E-2</v>
      </c>
      <c r="V73" s="7">
        <v>1.4529914529914532</v>
      </c>
      <c r="W73" s="7">
        <v>34.427350427350426</v>
      </c>
      <c r="X73" s="7">
        <v>43.213675213675209</v>
      </c>
      <c r="Y73" s="7">
        <v>9.1894586894586894</v>
      </c>
      <c r="Z73" s="7">
        <v>15.975071225071231</v>
      </c>
      <c r="AA73" s="7">
        <v>16.169515669515668</v>
      </c>
      <c r="AB73" s="7">
        <v>4.6428062678062689</v>
      </c>
      <c r="AC73" s="7">
        <v>8.0046296296296298</v>
      </c>
    </row>
    <row r="74" spans="3:29" x14ac:dyDescent="0.2">
      <c r="C74">
        <v>0.44444444444444442</v>
      </c>
      <c r="D74">
        <v>168.77777777777777</v>
      </c>
      <c r="E74">
        <v>63.888888888888886</v>
      </c>
      <c r="F74">
        <v>38.981481481481481</v>
      </c>
      <c r="G74">
        <v>73.462962962962962</v>
      </c>
      <c r="H74">
        <v>45.851851851851848</v>
      </c>
      <c r="I74">
        <v>57.24074074074074</v>
      </c>
      <c r="J74">
        <v>43.092592592592588</v>
      </c>
      <c r="M74">
        <v>-0.55555555555555558</v>
      </c>
      <c r="N74">
        <v>-1.2222222222222285</v>
      </c>
      <c r="O74">
        <v>-3.1111111111111143</v>
      </c>
      <c r="P74">
        <v>-1.018518518518519</v>
      </c>
      <c r="Q74">
        <v>-3.5370370370370381</v>
      </c>
      <c r="R74">
        <v>-0.64814814814815236</v>
      </c>
      <c r="S74">
        <v>-0.75925925925925952</v>
      </c>
      <c r="T74">
        <v>-1.4074074074074119</v>
      </c>
      <c r="V74" s="7">
        <v>0.35042735042735046</v>
      </c>
      <c r="W74" s="7">
        <v>11.036324786324787</v>
      </c>
      <c r="X74" s="7">
        <v>14.604700854700855</v>
      </c>
      <c r="Y74" s="7">
        <v>2.8892450142450143</v>
      </c>
      <c r="Z74" s="7">
        <v>4.3361823361823362</v>
      </c>
      <c r="AA74" s="7">
        <v>4.6428062678062689</v>
      </c>
      <c r="AB74" s="7">
        <v>3.3917378917378898</v>
      </c>
      <c r="AC74" s="7">
        <v>3.2268518518518507</v>
      </c>
    </row>
    <row r="75" spans="3:29" x14ac:dyDescent="0.2">
      <c r="C75">
        <v>0.44444444444444442</v>
      </c>
      <c r="D75">
        <v>168.77777777777777</v>
      </c>
      <c r="E75">
        <v>63.888888888888886</v>
      </c>
      <c r="F75">
        <v>38.981481481481481</v>
      </c>
      <c r="G75">
        <v>73.462962962962962</v>
      </c>
      <c r="H75">
        <v>45.851851851851848</v>
      </c>
      <c r="I75">
        <v>57.24074074074074</v>
      </c>
      <c r="J75">
        <v>43.092592592592588</v>
      </c>
      <c r="M75">
        <v>0.44444444444444442</v>
      </c>
      <c r="N75">
        <v>0.77777777777777146</v>
      </c>
      <c r="O75">
        <v>7.8888888888888857</v>
      </c>
      <c r="P75">
        <v>1.481481481481481</v>
      </c>
      <c r="Q75">
        <v>2.9629629629629619</v>
      </c>
      <c r="R75">
        <v>-2.1481481481481524</v>
      </c>
      <c r="S75">
        <v>-2.7592592592592595</v>
      </c>
      <c r="T75">
        <v>3.0925925925925881</v>
      </c>
      <c r="V75" s="7">
        <v>1.1688034188034191</v>
      </c>
      <c r="W75" s="7">
        <v>27.155982905982906</v>
      </c>
      <c r="X75" s="7">
        <v>29.029914529914535</v>
      </c>
      <c r="Y75" s="7">
        <v>7.6940883190883191</v>
      </c>
      <c r="Z75" s="7">
        <v>11.974715099715098</v>
      </c>
      <c r="AA75" s="7">
        <v>8.0046296296296298</v>
      </c>
      <c r="AB75" s="7">
        <v>3.2268518518518507</v>
      </c>
      <c r="AC75" s="7">
        <v>9.9622507122507109</v>
      </c>
    </row>
    <row r="76" spans="3:29" x14ac:dyDescent="0.2">
      <c r="V76" s="7"/>
      <c r="W76" s="7"/>
      <c r="X76" s="7"/>
      <c r="Y76" s="7"/>
      <c r="Z76" s="7"/>
      <c r="AA76" s="7"/>
      <c r="AB76" s="7"/>
      <c r="AC76" s="7"/>
    </row>
    <row r="78" spans="3:29" x14ac:dyDescent="0.2">
      <c r="C78" s="3"/>
    </row>
    <row r="80" spans="3:29" x14ac:dyDescent="0.2">
      <c r="D80" s="14">
        <f>1/26</f>
        <v>3.8461538461538464E-2</v>
      </c>
      <c r="M80" s="18">
        <f>1/SQRT(V68)</f>
        <v>1.9748417658131499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</row>
    <row r="81" spans="13:29" x14ac:dyDescent="0.2">
      <c r="M81" s="18">
        <v>0</v>
      </c>
      <c r="N81" s="18">
        <f>1/SQRT(W69)</f>
        <v>9.8082252565777212E-2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V81" s="19">
        <f>+(V68)^(1/2)</f>
        <v>0.50636968354183332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</row>
    <row r="82" spans="13:29" x14ac:dyDescent="0.2">
      <c r="M82" s="18">
        <v>0</v>
      </c>
      <c r="N82" s="18">
        <v>0</v>
      </c>
      <c r="O82" s="18">
        <f>1/SQRT(X70)</f>
        <v>7.8117420614970526E-2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V82" s="18">
        <v>0</v>
      </c>
      <c r="W82" s="18">
        <f>+(W69)^(1/2)</f>
        <v>10.195524407734894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</row>
    <row r="83" spans="13:29" x14ac:dyDescent="0.2">
      <c r="M83" s="18">
        <v>0</v>
      </c>
      <c r="N83" s="18">
        <v>0</v>
      </c>
      <c r="O83" s="18">
        <v>0</v>
      </c>
      <c r="P83" s="18">
        <f>1/SQRT(Y71)</f>
        <v>0.349181786615814</v>
      </c>
      <c r="Q83" s="18">
        <v>0</v>
      </c>
      <c r="R83" s="18">
        <v>0</v>
      </c>
      <c r="S83" s="18">
        <v>0</v>
      </c>
      <c r="T83" s="18">
        <v>0</v>
      </c>
      <c r="V83" s="18">
        <v>0</v>
      </c>
      <c r="W83" s="18">
        <v>0</v>
      </c>
      <c r="X83" s="19">
        <f>+(X70)^(1/2)</f>
        <v>12.801241926930171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</row>
    <row r="84" spans="13:29" x14ac:dyDescent="0.2">
      <c r="M84" s="18">
        <v>0</v>
      </c>
      <c r="N84" s="18">
        <v>0</v>
      </c>
      <c r="O84" s="18">
        <v>0</v>
      </c>
      <c r="P84" s="18">
        <v>0</v>
      </c>
      <c r="Q84" s="18">
        <f>1/SQRT(Z72)</f>
        <v>0.20171994047297159</v>
      </c>
      <c r="R84" s="18">
        <v>0</v>
      </c>
      <c r="S84" s="18">
        <v>0</v>
      </c>
      <c r="T84" s="18">
        <v>0</v>
      </c>
      <c r="V84" s="18">
        <v>0</v>
      </c>
      <c r="W84" s="18">
        <v>0</v>
      </c>
      <c r="X84" s="18">
        <v>0</v>
      </c>
      <c r="Y84" s="18">
        <f>+(Y71)^(1/2)</f>
        <v>2.8638378011973642</v>
      </c>
      <c r="Z84" s="18">
        <v>0</v>
      </c>
      <c r="AA84" s="18">
        <v>0</v>
      </c>
      <c r="AB84" s="18">
        <v>0</v>
      </c>
      <c r="AC84" s="18">
        <v>0</v>
      </c>
    </row>
    <row r="85" spans="13:29" x14ac:dyDescent="0.2"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f>1/SQRT(AA73)</f>
        <v>0.24868609005286363</v>
      </c>
      <c r="S85" s="18">
        <v>0</v>
      </c>
      <c r="T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f>+(Z72)^(1/2)</f>
        <v>4.9573681097431699</v>
      </c>
      <c r="AA85" s="18">
        <v>0</v>
      </c>
      <c r="AB85" s="18">
        <v>0</v>
      </c>
      <c r="AC85" s="18">
        <v>0</v>
      </c>
    </row>
    <row r="86" spans="13:29" x14ac:dyDescent="0.2"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f>1/SQRT(AB74)</f>
        <v>0.54298628280826189</v>
      </c>
      <c r="T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f>+(AA73)^(1/2)</f>
        <v>4.0211336299003628</v>
      </c>
      <c r="AB86" s="18">
        <v>0</v>
      </c>
      <c r="AC86" s="18">
        <v>0</v>
      </c>
    </row>
    <row r="87" spans="13:29" x14ac:dyDescent="0.2"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f>1/SQRT(AC75)</f>
        <v>0.31682632984950659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f>+(AB74)^(1/2)</f>
        <v>1.841667150094688</v>
      </c>
      <c r="AC87" s="18">
        <v>0</v>
      </c>
    </row>
    <row r="88" spans="13:29" x14ac:dyDescent="0.2"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f>+(AC75)^(1/2)</f>
        <v>3.1563033302030257</v>
      </c>
    </row>
    <row r="90" spans="13:29" x14ac:dyDescent="0.2">
      <c r="M90" s="18" cm="1">
        <f t="array" ref="M90:T97">+MMULT(M80:T87,_xlfn.ANCHORARRAY(V68))</f>
        <v>0.50636968354183332</v>
      </c>
      <c r="N90" s="18">
        <v>8.0259594841380579</v>
      </c>
      <c r="O90" s="18">
        <v>9.4437945980551916</v>
      </c>
      <c r="P90" s="18">
        <v>2.447453470452194</v>
      </c>
      <c r="Q90" s="18">
        <v>3.9074860579978141</v>
      </c>
      <c r="R90" s="18">
        <v>2.8694282067370556</v>
      </c>
      <c r="S90" s="18">
        <v>0.69203856750717219</v>
      </c>
      <c r="T90" s="18">
        <v>2.3082018074781905</v>
      </c>
    </row>
    <row r="91" spans="13:29" x14ac:dyDescent="0.2">
      <c r="M91" s="18">
        <v>0.39861633414553044</v>
      </c>
      <c r="N91" s="18">
        <v>10.195524407734892</v>
      </c>
      <c r="O91" s="18">
        <v>10.628092290845499</v>
      </c>
      <c r="P91" s="18">
        <v>2.657232650174123</v>
      </c>
      <c r="Q91" s="18">
        <v>4.4977419280216786</v>
      </c>
      <c r="R91" s="18">
        <v>3.3767120797859023</v>
      </c>
      <c r="S91" s="18">
        <v>1.0824675950902549</v>
      </c>
      <c r="T91" s="18">
        <v>2.6635199740565438</v>
      </c>
    </row>
    <row r="92" spans="13:29" x14ac:dyDescent="0.2">
      <c r="M92" s="18">
        <v>0.37356151140235905</v>
      </c>
      <c r="N92" s="18">
        <v>8.4647235774068061</v>
      </c>
      <c r="O92" s="18">
        <v>12.801241926930169</v>
      </c>
      <c r="P92" s="18">
        <v>2.4334911862086654</v>
      </c>
      <c r="Q92" s="18">
        <v>4.0662788111138823</v>
      </c>
      <c r="R92" s="18">
        <v>3.3757408429853926</v>
      </c>
      <c r="S92" s="18">
        <v>1.1408815596224862</v>
      </c>
      <c r="T92" s="18">
        <v>2.267742043749978</v>
      </c>
    </row>
    <row r="93" spans="13:29" x14ac:dyDescent="0.2">
      <c r="M93" s="18">
        <v>0.43274665862643608</v>
      </c>
      <c r="N93" s="18">
        <v>9.45999118055963</v>
      </c>
      <c r="O93" s="18">
        <v>10.877609545025541</v>
      </c>
      <c r="P93" s="18">
        <v>2.8638378011973646</v>
      </c>
      <c r="Q93" s="18">
        <v>4.2235079062035279</v>
      </c>
      <c r="R93" s="18">
        <v>3.208791603217402</v>
      </c>
      <c r="S93" s="18">
        <v>1.0088717360449071</v>
      </c>
      <c r="T93" s="18">
        <v>2.6866355056391247</v>
      </c>
    </row>
    <row r="94" spans="13:29" x14ac:dyDescent="0.2">
      <c r="M94" s="18">
        <v>0.39912962580763189</v>
      </c>
      <c r="N94" s="18">
        <v>9.2502385523300106</v>
      </c>
      <c r="O94" s="18">
        <v>10.500212542440302</v>
      </c>
      <c r="P94" s="18">
        <v>2.4398917586267834</v>
      </c>
      <c r="Q94" s="18">
        <v>4.9573681097431699</v>
      </c>
      <c r="R94" s="18">
        <v>3.2224904165728501</v>
      </c>
      <c r="S94" s="18">
        <v>0.8746944427346518</v>
      </c>
      <c r="T94" s="18">
        <v>2.4155388170953236</v>
      </c>
    </row>
    <row r="95" spans="13:29" x14ac:dyDescent="0.2">
      <c r="M95" s="18">
        <v>0.36133876332467368</v>
      </c>
      <c r="N95" s="18">
        <v>8.5616031686575607</v>
      </c>
      <c r="O95" s="18">
        <v>10.746639925703233</v>
      </c>
      <c r="P95" s="18">
        <v>2.285290551183794</v>
      </c>
      <c r="Q95" s="18">
        <v>3.9727780012789746</v>
      </c>
      <c r="R95" s="18">
        <v>4.0211336299003628</v>
      </c>
      <c r="S95" s="18">
        <v>1.1546013376136695</v>
      </c>
      <c r="T95" s="18">
        <v>1.9906400449138946</v>
      </c>
    </row>
    <row r="96" spans="13:29" x14ac:dyDescent="0.2">
      <c r="M96" s="18">
        <v>0.1902772444028952</v>
      </c>
      <c r="N96" s="18">
        <v>5.9925729715911817</v>
      </c>
      <c r="O96" s="18">
        <v>7.9301522286206625</v>
      </c>
      <c r="P96" s="18">
        <v>1.5688204104072041</v>
      </c>
      <c r="Q96" s="18">
        <v>2.3544875283024918</v>
      </c>
      <c r="R96" s="18">
        <v>2.5209801171550255</v>
      </c>
      <c r="S96" s="18">
        <v>1.8416671500946877</v>
      </c>
      <c r="T96" s="18">
        <v>1.7521362922099926</v>
      </c>
    </row>
    <row r="97" spans="12:20" x14ac:dyDescent="0.2">
      <c r="M97" s="18">
        <v>0.37030769749504305</v>
      </c>
      <c r="N97" s="18">
        <v>8.6037303975585022</v>
      </c>
      <c r="O97" s="18">
        <v>9.1974412763576865</v>
      </c>
      <c r="P97" s="18">
        <v>2.4376897636747117</v>
      </c>
      <c r="Q97" s="18">
        <v>3.793905036036203</v>
      </c>
      <c r="R97" s="18">
        <v>2.5360774273601709</v>
      </c>
      <c r="S97" s="18">
        <v>1.0223516291903056</v>
      </c>
      <c r="T97" s="18">
        <v>3.1563033302030257</v>
      </c>
    </row>
    <row r="100" spans="12:20" x14ac:dyDescent="0.2">
      <c r="L100" s="7"/>
      <c r="M100" s="17" t="s">
        <v>9</v>
      </c>
      <c r="N100" s="7"/>
      <c r="O100" s="7"/>
      <c r="P100" s="7"/>
      <c r="Q100" s="7"/>
      <c r="R100" s="7"/>
      <c r="S100" s="7"/>
    </row>
    <row r="101" spans="12:20" x14ac:dyDescent="0.2">
      <c r="L101" s="7"/>
      <c r="M101" s="15" cm="1">
        <f t="array" ref="M101:T108">+MMULT(_xlfn.ANCHORARRAY(M90),M80:T87)</f>
        <v>1</v>
      </c>
      <c r="N101" s="15">
        <v>0.78720418520592395</v>
      </c>
      <c r="O101" s="15">
        <v>0.73772487481766391</v>
      </c>
      <c r="P101" s="15">
        <v>0.85460617547157147</v>
      </c>
      <c r="Q101" s="15">
        <v>0.78821785501828545</v>
      </c>
      <c r="R101" s="15">
        <v>0.71358688142083837</v>
      </c>
      <c r="S101" s="15">
        <v>0.37576744933067385</v>
      </c>
      <c r="T101" s="16">
        <v>0.73129910721531244</v>
      </c>
    </row>
    <row r="102" spans="12:20" x14ac:dyDescent="0.2">
      <c r="L102" s="7"/>
      <c r="M102" s="15">
        <v>0.78720418520592395</v>
      </c>
      <c r="N102" s="15">
        <v>0.99999999999999978</v>
      </c>
      <c r="O102" s="15">
        <v>0.83023915581870356</v>
      </c>
      <c r="P102" s="15">
        <v>0.92785724424167459</v>
      </c>
      <c r="Q102" s="15">
        <v>0.90728423398332148</v>
      </c>
      <c r="R102" s="15">
        <v>0.83974132435622928</v>
      </c>
      <c r="S102" s="15">
        <v>0.58776505571845628</v>
      </c>
      <c r="T102" s="16">
        <v>0.84387325786118783</v>
      </c>
    </row>
    <row r="103" spans="12:20" x14ac:dyDescent="0.2">
      <c r="L103" s="7"/>
      <c r="M103" s="15">
        <v>0.7377248748176638</v>
      </c>
      <c r="N103" s="15">
        <v>0.83023915581870356</v>
      </c>
      <c r="O103" s="15">
        <v>0.99999999999999978</v>
      </c>
      <c r="P103" s="15">
        <v>0.84973080011417834</v>
      </c>
      <c r="Q103" s="15">
        <v>0.82024951972439808</v>
      </c>
      <c r="R103" s="15">
        <v>0.83949979127379515</v>
      </c>
      <c r="S103" s="15">
        <v>0.61948303718390618</v>
      </c>
      <c r="T103" s="16">
        <v>0.71848038876672471</v>
      </c>
    </row>
    <row r="104" spans="12:20" x14ac:dyDescent="0.2">
      <c r="L104" s="7"/>
      <c r="M104" s="15">
        <v>0.85460617547157136</v>
      </c>
      <c r="N104" s="15">
        <v>0.92785724424167459</v>
      </c>
      <c r="O104" s="15">
        <v>0.84973080011417834</v>
      </c>
      <c r="P104" s="15">
        <v>1.0000000000000002</v>
      </c>
      <c r="Q104" s="15">
        <v>0.85196576342650054</v>
      </c>
      <c r="R104" s="15">
        <v>0.79798183759859553</v>
      </c>
      <c r="S104" s="15">
        <v>0.54780351378534209</v>
      </c>
      <c r="T104" s="16">
        <v>0.85119686689501728</v>
      </c>
    </row>
    <row r="105" spans="12:20" x14ac:dyDescent="0.2">
      <c r="L105" s="7"/>
      <c r="M105" s="15">
        <v>0.78821785501828556</v>
      </c>
      <c r="N105" s="15">
        <v>0.90728423398332148</v>
      </c>
      <c r="O105" s="15">
        <v>0.82024951972439808</v>
      </c>
      <c r="P105" s="15">
        <v>0.85196576342650066</v>
      </c>
      <c r="Q105" s="15">
        <v>0.99999999999999989</v>
      </c>
      <c r="R105" s="15">
        <v>0.80138854193032583</v>
      </c>
      <c r="S105" s="15">
        <v>0.4749470840535327</v>
      </c>
      <c r="T105" s="16">
        <v>0.76530629802932992</v>
      </c>
    </row>
    <row r="106" spans="12:20" x14ac:dyDescent="0.2">
      <c r="L106" s="7"/>
      <c r="M106" s="15">
        <v>0.71358688142083837</v>
      </c>
      <c r="N106" s="15">
        <v>0.83974132435622928</v>
      </c>
      <c r="O106" s="15">
        <v>0.83949979127379504</v>
      </c>
      <c r="P106" s="15">
        <v>0.79798183759859553</v>
      </c>
      <c r="Q106" s="15">
        <v>0.80138854193032583</v>
      </c>
      <c r="R106" s="15">
        <v>1</v>
      </c>
      <c r="S106" s="15">
        <v>0.62693268843629335</v>
      </c>
      <c r="T106" s="16">
        <v>0.63068717948152619</v>
      </c>
    </row>
    <row r="107" spans="12:20" x14ac:dyDescent="0.2">
      <c r="L107" s="7"/>
      <c r="M107" s="15">
        <v>0.37576744933067385</v>
      </c>
      <c r="N107" s="15">
        <v>0.58776505571845639</v>
      </c>
      <c r="O107" s="15">
        <v>0.61948303718390618</v>
      </c>
      <c r="P107" s="15">
        <v>0.54780351378534209</v>
      </c>
      <c r="Q107" s="15">
        <v>0.47494708405353264</v>
      </c>
      <c r="R107" s="15">
        <v>0.62693268843629335</v>
      </c>
      <c r="S107" s="15">
        <v>0.99999999999999978</v>
      </c>
      <c r="T107" s="16">
        <v>0.5551229108570146</v>
      </c>
    </row>
    <row r="108" spans="12:20" x14ac:dyDescent="0.2">
      <c r="M108" s="16">
        <v>0.73129910721531255</v>
      </c>
      <c r="N108" s="16">
        <v>0.84387325786118783</v>
      </c>
      <c r="O108" s="16">
        <v>0.71848038876672471</v>
      </c>
      <c r="P108" s="16">
        <v>0.85119686689501728</v>
      </c>
      <c r="Q108" s="16">
        <v>0.76530629802933003</v>
      </c>
      <c r="R108" s="16">
        <v>0.63068717948152619</v>
      </c>
      <c r="S108" s="16">
        <v>0.5551229108570146</v>
      </c>
      <c r="T108" s="16">
        <v>0.99999999999999989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</dc:creator>
  <cp:keywords/>
  <dc:description/>
  <cp:lastModifiedBy>Jerry</cp:lastModifiedBy>
  <cp:revision/>
  <dcterms:created xsi:type="dcterms:W3CDTF">2026-08-13T01:11:00Z</dcterms:created>
  <dcterms:modified xsi:type="dcterms:W3CDTF">2026-08-13T21:30:24Z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83ABA91F7AB8459DAA175614FB85F52D_11</vt:lpwstr>
  </property>
  <property fmtid="{D5CDD505-2E9C-101B-9397-08002B2CF9AE}" pid="3" name="KSOProductBuildVer">
    <vt:lpwstr>3082-12.2.0.23206</vt:lpwstr>
  </property>
</Properties>
</file>