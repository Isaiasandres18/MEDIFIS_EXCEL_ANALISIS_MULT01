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D8969F47-87AC-5B41-B316-809AC4B2B26D}" xr6:coauthVersionLast="47" xr6:coauthVersionMax="47" xr10:uidLastSave="{00000000-0000-0000-0000-000000000000}"/>
  <bookViews>
    <workbookView xWindow="0" yWindow="0" windowWidth="19200" windowHeight="7510" xr2:uid="{00000000-000D-0000-FFFF-FFFF00000000}"/>
  </bookViews>
  <sheets>
    <sheet name="Hoj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8" i="1" l="1"/>
  <c r="N3" i="1"/>
  <c r="P3" i="1" a="1"/>
  <c r="J31" i="1"/>
  <c r="I31" i="1"/>
  <c r="H31" i="1"/>
  <c r="G31" i="1"/>
  <c r="F31" i="1"/>
  <c r="E31" i="1"/>
  <c r="D31" i="1"/>
  <c r="C31" i="1"/>
  <c r="J30" i="1"/>
  <c r="I30" i="1"/>
  <c r="H30" i="1"/>
  <c r="G30" i="1"/>
  <c r="F30" i="1"/>
  <c r="E30" i="1"/>
  <c r="D30" i="1"/>
  <c r="C30" i="1"/>
  <c r="P10" i="1"/>
  <c r="P9" i="1"/>
  <c r="P8" i="1"/>
  <c r="P7" i="1"/>
  <c r="P6" i="1"/>
  <c r="P5" i="1"/>
  <c r="P4" i="1"/>
  <c r="P3" i="1"/>
  <c r="R3" i="1" a="1"/>
  <c r="R10" i="1"/>
  <c r="R9" i="1"/>
  <c r="R8" i="1"/>
  <c r="R7" i="1"/>
  <c r="R6" i="1"/>
  <c r="R5" i="1"/>
  <c r="R4" i="1"/>
  <c r="R3" i="1"/>
  <c r="P14" i="1" a="1"/>
  <c r="P14" i="1"/>
  <c r="Q14" i="1"/>
  <c r="R14" i="1"/>
  <c r="S14" i="1"/>
  <c r="T14" i="1"/>
  <c r="U14" i="1"/>
  <c r="V14" i="1"/>
  <c r="W14" i="1"/>
  <c r="C48" i="1" a="1"/>
  <c r="J74" i="1"/>
  <c r="I74" i="1"/>
  <c r="H74" i="1"/>
  <c r="G74" i="1"/>
  <c r="F74" i="1"/>
  <c r="E74" i="1"/>
  <c r="D74" i="1"/>
  <c r="C74" i="1"/>
  <c r="J73" i="1"/>
  <c r="I73" i="1"/>
  <c r="H73" i="1"/>
  <c r="G73" i="1"/>
  <c r="F73" i="1"/>
  <c r="E73" i="1"/>
  <c r="D73" i="1"/>
  <c r="C73" i="1"/>
  <c r="J72" i="1"/>
  <c r="I72" i="1"/>
  <c r="H72" i="1"/>
  <c r="G72" i="1"/>
  <c r="F72" i="1"/>
  <c r="E72" i="1"/>
  <c r="D72" i="1"/>
  <c r="C72" i="1"/>
  <c r="J71" i="1"/>
  <c r="I71" i="1"/>
  <c r="H71" i="1"/>
  <c r="G71" i="1"/>
  <c r="F71" i="1"/>
  <c r="E71" i="1"/>
  <c r="D71" i="1"/>
  <c r="C71" i="1"/>
  <c r="J70" i="1"/>
  <c r="I70" i="1"/>
  <c r="H70" i="1"/>
  <c r="G70" i="1"/>
  <c r="F70" i="1"/>
  <c r="E70" i="1"/>
  <c r="D70" i="1"/>
  <c r="C70" i="1"/>
  <c r="J69" i="1"/>
  <c r="I69" i="1"/>
  <c r="H69" i="1"/>
  <c r="G69" i="1"/>
  <c r="F69" i="1"/>
  <c r="E69" i="1"/>
  <c r="D69" i="1"/>
  <c r="C69" i="1"/>
  <c r="J68" i="1"/>
  <c r="I68" i="1"/>
  <c r="H68" i="1"/>
  <c r="G68" i="1"/>
  <c r="F68" i="1"/>
  <c r="E68" i="1"/>
  <c r="D68" i="1"/>
  <c r="C68" i="1"/>
  <c r="J67" i="1"/>
  <c r="I67" i="1"/>
  <c r="H67" i="1"/>
  <c r="G67" i="1"/>
  <c r="F67" i="1"/>
  <c r="E67" i="1"/>
  <c r="D67" i="1"/>
  <c r="C67" i="1"/>
  <c r="J66" i="1"/>
  <c r="I66" i="1"/>
  <c r="H66" i="1"/>
  <c r="G66" i="1"/>
  <c r="F66" i="1"/>
  <c r="E66" i="1"/>
  <c r="D66" i="1"/>
  <c r="C66" i="1"/>
  <c r="J65" i="1"/>
  <c r="I65" i="1"/>
  <c r="H65" i="1"/>
  <c r="G65" i="1"/>
  <c r="F65" i="1"/>
  <c r="E65" i="1"/>
  <c r="D65" i="1"/>
  <c r="C65" i="1"/>
  <c r="J64" i="1"/>
  <c r="I64" i="1"/>
  <c r="H64" i="1"/>
  <c r="G64" i="1"/>
  <c r="F64" i="1"/>
  <c r="E64" i="1"/>
  <c r="D64" i="1"/>
  <c r="C64" i="1"/>
  <c r="J63" i="1"/>
  <c r="I63" i="1"/>
  <c r="H63" i="1"/>
  <c r="G63" i="1"/>
  <c r="F63" i="1"/>
  <c r="E63" i="1"/>
  <c r="D63" i="1"/>
  <c r="C63" i="1"/>
  <c r="J62" i="1"/>
  <c r="I62" i="1"/>
  <c r="H62" i="1"/>
  <c r="G62" i="1"/>
  <c r="F62" i="1"/>
  <c r="E62" i="1"/>
  <c r="D62" i="1"/>
  <c r="C62" i="1"/>
  <c r="J61" i="1"/>
  <c r="I61" i="1"/>
  <c r="H61" i="1"/>
  <c r="G61" i="1"/>
  <c r="F61" i="1"/>
  <c r="E61" i="1"/>
  <c r="D61" i="1"/>
  <c r="C61" i="1"/>
  <c r="J60" i="1"/>
  <c r="I60" i="1"/>
  <c r="H60" i="1"/>
  <c r="G60" i="1"/>
  <c r="F60" i="1"/>
  <c r="E60" i="1"/>
  <c r="D60" i="1"/>
  <c r="C60" i="1"/>
  <c r="J59" i="1"/>
  <c r="I59" i="1"/>
  <c r="H59" i="1"/>
  <c r="G59" i="1"/>
  <c r="F59" i="1"/>
  <c r="E59" i="1"/>
  <c r="D59" i="1"/>
  <c r="C59" i="1"/>
  <c r="J58" i="1"/>
  <c r="I58" i="1"/>
  <c r="H58" i="1"/>
  <c r="G58" i="1"/>
  <c r="F58" i="1"/>
  <c r="E58" i="1"/>
  <c r="D58" i="1"/>
  <c r="C58" i="1"/>
  <c r="J57" i="1"/>
  <c r="I57" i="1"/>
  <c r="H57" i="1"/>
  <c r="G57" i="1"/>
  <c r="F57" i="1"/>
  <c r="E57" i="1"/>
  <c r="D57" i="1"/>
  <c r="C57" i="1"/>
  <c r="J56" i="1"/>
  <c r="I56" i="1"/>
  <c r="H56" i="1"/>
  <c r="G56" i="1"/>
  <c r="F56" i="1"/>
  <c r="E56" i="1"/>
  <c r="D56" i="1"/>
  <c r="C56" i="1"/>
  <c r="J55" i="1"/>
  <c r="I55" i="1"/>
  <c r="H55" i="1"/>
  <c r="G55" i="1"/>
  <c r="F55" i="1"/>
  <c r="E55" i="1"/>
  <c r="D55" i="1"/>
  <c r="C55" i="1"/>
  <c r="J54" i="1"/>
  <c r="I54" i="1"/>
  <c r="H54" i="1"/>
  <c r="G54" i="1"/>
  <c r="F54" i="1"/>
  <c r="E54" i="1"/>
  <c r="D54" i="1"/>
  <c r="C54" i="1"/>
  <c r="J53" i="1"/>
  <c r="I53" i="1"/>
  <c r="H53" i="1"/>
  <c r="G53" i="1"/>
  <c r="F53" i="1"/>
  <c r="E53" i="1"/>
  <c r="D53" i="1"/>
  <c r="C53" i="1"/>
  <c r="J52" i="1"/>
  <c r="I52" i="1"/>
  <c r="H52" i="1"/>
  <c r="G52" i="1"/>
  <c r="F52" i="1"/>
  <c r="E52" i="1"/>
  <c r="D52" i="1"/>
  <c r="C52" i="1"/>
  <c r="J51" i="1"/>
  <c r="I51" i="1"/>
  <c r="H51" i="1"/>
  <c r="G51" i="1"/>
  <c r="F51" i="1"/>
  <c r="E51" i="1"/>
  <c r="D51" i="1"/>
  <c r="C51" i="1"/>
  <c r="J50" i="1"/>
  <c r="I50" i="1"/>
  <c r="H50" i="1"/>
  <c r="G50" i="1"/>
  <c r="F50" i="1"/>
  <c r="E50" i="1"/>
  <c r="D50" i="1"/>
  <c r="C50" i="1"/>
  <c r="J49" i="1"/>
  <c r="I49" i="1"/>
  <c r="H49" i="1"/>
  <c r="G49" i="1"/>
  <c r="F49" i="1"/>
  <c r="E49" i="1"/>
  <c r="D49" i="1"/>
  <c r="C49" i="1"/>
  <c r="J48" i="1"/>
  <c r="I48" i="1"/>
  <c r="H48" i="1"/>
  <c r="G48" i="1"/>
  <c r="F48" i="1"/>
  <c r="E48" i="1"/>
  <c r="D48" i="1"/>
  <c r="C48" i="1"/>
  <c r="L48" i="1" a="1"/>
  <c r="L48" i="1"/>
  <c r="M48" i="1"/>
  <c r="N48" i="1"/>
  <c r="O48" i="1"/>
  <c r="P48" i="1"/>
  <c r="Q48" i="1"/>
  <c r="R48" i="1"/>
  <c r="S48" i="1"/>
  <c r="L49" i="1"/>
  <c r="M49" i="1"/>
  <c r="N49" i="1"/>
  <c r="O49" i="1"/>
  <c r="P49" i="1"/>
  <c r="Q49" i="1"/>
  <c r="R49" i="1"/>
  <c r="S49" i="1"/>
  <c r="L50" i="1"/>
  <c r="M50" i="1"/>
  <c r="N50" i="1"/>
  <c r="O50" i="1"/>
  <c r="P50" i="1"/>
  <c r="Q50" i="1"/>
  <c r="R50" i="1"/>
  <c r="S50" i="1"/>
  <c r="L51" i="1"/>
  <c r="M51" i="1"/>
  <c r="N51" i="1"/>
  <c r="O51" i="1"/>
  <c r="P51" i="1"/>
  <c r="Q51" i="1"/>
  <c r="R51" i="1"/>
  <c r="S51" i="1"/>
  <c r="L52" i="1"/>
  <c r="M52" i="1"/>
  <c r="N52" i="1"/>
  <c r="O52" i="1"/>
  <c r="P52" i="1"/>
  <c r="Q52" i="1"/>
  <c r="R52" i="1"/>
  <c r="S52" i="1"/>
  <c r="L53" i="1"/>
  <c r="M53" i="1"/>
  <c r="N53" i="1"/>
  <c r="O53" i="1"/>
  <c r="P53" i="1"/>
  <c r="Q53" i="1"/>
  <c r="R53" i="1"/>
  <c r="S53" i="1"/>
  <c r="L54" i="1"/>
  <c r="M54" i="1"/>
  <c r="N54" i="1"/>
  <c r="O54" i="1"/>
  <c r="P54" i="1"/>
  <c r="Q54" i="1"/>
  <c r="R54" i="1"/>
  <c r="S54" i="1"/>
  <c r="L55" i="1"/>
  <c r="M55" i="1"/>
  <c r="N55" i="1"/>
  <c r="O55" i="1"/>
  <c r="P55" i="1"/>
  <c r="Q55" i="1"/>
  <c r="R55" i="1"/>
  <c r="S55" i="1"/>
  <c r="L56" i="1"/>
  <c r="M56" i="1"/>
  <c r="N56" i="1"/>
  <c r="O56" i="1"/>
  <c r="P56" i="1"/>
  <c r="Q56" i="1"/>
  <c r="R56" i="1"/>
  <c r="S56" i="1"/>
  <c r="L57" i="1"/>
  <c r="M57" i="1"/>
  <c r="N57" i="1"/>
  <c r="O57" i="1"/>
  <c r="P57" i="1"/>
  <c r="Q57" i="1"/>
  <c r="R57" i="1"/>
  <c r="S57" i="1"/>
  <c r="L58" i="1"/>
  <c r="M58" i="1"/>
  <c r="N58" i="1"/>
  <c r="O58" i="1"/>
  <c r="P58" i="1"/>
  <c r="Q58" i="1"/>
  <c r="R58" i="1"/>
  <c r="S58" i="1"/>
  <c r="L59" i="1"/>
  <c r="M59" i="1"/>
  <c r="N59" i="1"/>
  <c r="O59" i="1"/>
  <c r="P59" i="1"/>
  <c r="Q59" i="1"/>
  <c r="R59" i="1"/>
  <c r="S59" i="1"/>
  <c r="L60" i="1"/>
  <c r="M60" i="1"/>
  <c r="N60" i="1"/>
  <c r="O60" i="1"/>
  <c r="P60" i="1"/>
  <c r="Q60" i="1"/>
  <c r="R60" i="1"/>
  <c r="S60" i="1"/>
  <c r="L61" i="1"/>
  <c r="M61" i="1"/>
  <c r="N61" i="1"/>
  <c r="O61" i="1"/>
  <c r="P61" i="1"/>
  <c r="Q61" i="1"/>
  <c r="R61" i="1"/>
  <c r="S61" i="1"/>
  <c r="L62" i="1"/>
  <c r="M62" i="1"/>
  <c r="N62" i="1"/>
  <c r="O62" i="1"/>
  <c r="P62" i="1"/>
  <c r="Q62" i="1"/>
  <c r="R62" i="1"/>
  <c r="S62" i="1"/>
  <c r="L63" i="1"/>
  <c r="M63" i="1"/>
  <c r="N63" i="1"/>
  <c r="O63" i="1"/>
  <c r="P63" i="1"/>
  <c r="Q63" i="1"/>
  <c r="R63" i="1"/>
  <c r="S63" i="1"/>
  <c r="L64" i="1"/>
  <c r="M64" i="1"/>
  <c r="N64" i="1"/>
  <c r="O64" i="1"/>
  <c r="P64" i="1"/>
  <c r="Q64" i="1"/>
  <c r="R64" i="1"/>
  <c r="S64" i="1"/>
  <c r="L65" i="1"/>
  <c r="M65" i="1"/>
  <c r="N65" i="1"/>
  <c r="O65" i="1"/>
  <c r="P65" i="1"/>
  <c r="Q65" i="1"/>
  <c r="R65" i="1"/>
  <c r="S65" i="1"/>
  <c r="L66" i="1"/>
  <c r="M66" i="1"/>
  <c r="N66" i="1"/>
  <c r="O66" i="1"/>
  <c r="P66" i="1"/>
  <c r="Q66" i="1"/>
  <c r="R66" i="1"/>
  <c r="S66" i="1"/>
  <c r="L67" i="1"/>
  <c r="M67" i="1"/>
  <c r="N67" i="1"/>
  <c r="O67" i="1"/>
  <c r="P67" i="1"/>
  <c r="Q67" i="1"/>
  <c r="R67" i="1"/>
  <c r="S67" i="1"/>
  <c r="L68" i="1"/>
  <c r="M68" i="1"/>
  <c r="N68" i="1"/>
  <c r="O68" i="1"/>
  <c r="P68" i="1"/>
  <c r="Q68" i="1"/>
  <c r="R68" i="1"/>
  <c r="S68" i="1"/>
  <c r="L69" i="1"/>
  <c r="M69" i="1"/>
  <c r="N69" i="1"/>
  <c r="O69" i="1"/>
  <c r="P69" i="1"/>
  <c r="Q69" i="1"/>
  <c r="R69" i="1"/>
  <c r="S69" i="1"/>
  <c r="L70" i="1"/>
  <c r="M70" i="1"/>
  <c r="N70" i="1"/>
  <c r="O70" i="1"/>
  <c r="P70" i="1"/>
  <c r="Q70" i="1"/>
  <c r="R70" i="1"/>
  <c r="S70" i="1"/>
  <c r="L71" i="1"/>
  <c r="M71" i="1"/>
  <c r="N71" i="1"/>
  <c r="O71" i="1"/>
  <c r="P71" i="1"/>
  <c r="Q71" i="1"/>
  <c r="R71" i="1"/>
  <c r="S71" i="1"/>
  <c r="L72" i="1"/>
  <c r="M72" i="1"/>
  <c r="N72" i="1"/>
  <c r="O72" i="1"/>
  <c r="P72" i="1"/>
  <c r="Q72" i="1"/>
  <c r="R72" i="1"/>
  <c r="S72" i="1"/>
  <c r="L73" i="1"/>
  <c r="M73" i="1"/>
  <c r="N73" i="1"/>
  <c r="O73" i="1"/>
  <c r="P73" i="1"/>
  <c r="Q73" i="1"/>
  <c r="R73" i="1"/>
  <c r="S73" i="1"/>
  <c r="L74" i="1"/>
  <c r="M74" i="1"/>
  <c r="N74" i="1"/>
  <c r="O74" i="1"/>
  <c r="P74" i="1"/>
  <c r="Q74" i="1"/>
  <c r="R74" i="1"/>
  <c r="S74" i="1"/>
  <c r="V48" i="1" a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V59" i="1" a="1"/>
  <c r="V59" i="1"/>
  <c r="W59" i="1"/>
  <c r="X59" i="1"/>
  <c r="Y59" i="1"/>
  <c r="Z59" i="1"/>
  <c r="AA59" i="1"/>
  <c r="AB59" i="1"/>
  <c r="AC59" i="1"/>
  <c r="V60" i="1"/>
  <c r="W60" i="1"/>
  <c r="X60" i="1"/>
  <c r="Y60" i="1"/>
  <c r="Z60" i="1"/>
  <c r="AA60" i="1"/>
  <c r="AB60" i="1"/>
  <c r="AC60" i="1"/>
  <c r="V61" i="1"/>
  <c r="W61" i="1"/>
  <c r="X61" i="1"/>
  <c r="Y61" i="1"/>
  <c r="Z61" i="1"/>
  <c r="AA61" i="1"/>
  <c r="AB61" i="1"/>
  <c r="AC61" i="1"/>
  <c r="V62" i="1"/>
  <c r="W62" i="1"/>
  <c r="X62" i="1"/>
  <c r="Y62" i="1"/>
  <c r="Z62" i="1"/>
  <c r="AA62" i="1"/>
  <c r="AB62" i="1"/>
  <c r="AC62" i="1"/>
  <c r="V63" i="1"/>
  <c r="W63" i="1"/>
  <c r="X63" i="1"/>
  <c r="Y63" i="1"/>
  <c r="Z63" i="1"/>
  <c r="AA63" i="1"/>
  <c r="AB63" i="1"/>
  <c r="AC63" i="1"/>
  <c r="V64" i="1"/>
  <c r="W64" i="1"/>
  <c r="X64" i="1"/>
  <c r="Y64" i="1"/>
  <c r="Z64" i="1"/>
  <c r="AA64" i="1"/>
  <c r="AB64" i="1"/>
  <c r="AC64" i="1"/>
  <c r="V65" i="1"/>
  <c r="W65" i="1"/>
  <c r="X65" i="1"/>
  <c r="Y65" i="1"/>
  <c r="Z65" i="1"/>
  <c r="AA65" i="1"/>
  <c r="AB65" i="1"/>
  <c r="AC65" i="1"/>
  <c r="V66" i="1"/>
  <c r="W66" i="1"/>
  <c r="X66" i="1"/>
  <c r="Y66" i="1"/>
  <c r="Z66" i="1"/>
  <c r="AA66" i="1"/>
  <c r="AB66" i="1"/>
  <c r="AC66" i="1"/>
  <c r="V68" i="1" a="1"/>
  <c r="V68" i="1"/>
  <c r="L78" i="1"/>
  <c r="V78" i="1"/>
  <c r="W69" i="1"/>
  <c r="M79" i="1"/>
  <c r="W79" i="1"/>
  <c r="X70" i="1"/>
  <c r="N80" i="1"/>
  <c r="X80" i="1"/>
  <c r="Y71" i="1"/>
  <c r="O81" i="1"/>
  <c r="Y81" i="1"/>
  <c r="Z72" i="1"/>
  <c r="P82" i="1"/>
  <c r="Z82" i="1"/>
  <c r="AA73" i="1"/>
  <c r="Q83" i="1"/>
  <c r="AA83" i="1"/>
  <c r="AB74" i="1"/>
  <c r="R84" i="1"/>
  <c r="AB84" i="1"/>
  <c r="AC75" i="1"/>
  <c r="S85" i="1"/>
  <c r="AC85" i="1"/>
  <c r="AB75" i="1"/>
  <c r="AA75" i="1"/>
  <c r="Z75" i="1"/>
  <c r="Y75" i="1"/>
  <c r="X75" i="1"/>
  <c r="W75" i="1"/>
  <c r="V75" i="1"/>
  <c r="AC74" i="1"/>
  <c r="AA74" i="1"/>
  <c r="Z74" i="1"/>
  <c r="Y74" i="1"/>
  <c r="X74" i="1"/>
  <c r="W74" i="1"/>
  <c r="V74" i="1"/>
  <c r="AC73" i="1"/>
  <c r="AB73" i="1"/>
  <c r="Z73" i="1"/>
  <c r="Y73" i="1"/>
  <c r="X73" i="1"/>
  <c r="W73" i="1"/>
  <c r="V73" i="1"/>
  <c r="AC72" i="1"/>
  <c r="AB72" i="1"/>
  <c r="AA72" i="1"/>
  <c r="Y72" i="1"/>
  <c r="X72" i="1"/>
  <c r="W72" i="1"/>
  <c r="V72" i="1"/>
  <c r="AC71" i="1"/>
  <c r="AB71" i="1"/>
  <c r="AA71" i="1"/>
  <c r="Z71" i="1"/>
  <c r="X71" i="1"/>
  <c r="W71" i="1"/>
  <c r="V71" i="1"/>
  <c r="AC70" i="1"/>
  <c r="AB70" i="1"/>
  <c r="AA70" i="1"/>
  <c r="Z70" i="1"/>
  <c r="Y70" i="1"/>
  <c r="W70" i="1"/>
  <c r="V70" i="1"/>
  <c r="AC69" i="1"/>
  <c r="AB69" i="1"/>
  <c r="AA69" i="1"/>
  <c r="Z69" i="1"/>
  <c r="Y69" i="1"/>
  <c r="X69" i="1"/>
  <c r="V69" i="1"/>
  <c r="AC68" i="1"/>
  <c r="AB68" i="1"/>
  <c r="AA68" i="1"/>
  <c r="Z68" i="1"/>
  <c r="Y68" i="1"/>
  <c r="X68" i="1"/>
  <c r="W68" i="1"/>
  <c r="L89" i="1" a="1"/>
  <c r="L89" i="1"/>
  <c r="M89" i="1"/>
  <c r="N89" i="1"/>
  <c r="O89" i="1"/>
  <c r="P89" i="1"/>
  <c r="Q89" i="1"/>
  <c r="R89" i="1"/>
  <c r="S89" i="1"/>
  <c r="L90" i="1"/>
  <c r="M90" i="1"/>
  <c r="N90" i="1"/>
  <c r="O90" i="1"/>
  <c r="P90" i="1"/>
  <c r="Q90" i="1"/>
  <c r="R90" i="1"/>
  <c r="S90" i="1"/>
  <c r="L91" i="1"/>
  <c r="M91" i="1"/>
  <c r="N91" i="1"/>
  <c r="O91" i="1"/>
  <c r="P91" i="1"/>
  <c r="Q91" i="1"/>
  <c r="R91" i="1"/>
  <c r="S91" i="1"/>
  <c r="L92" i="1"/>
  <c r="M92" i="1"/>
  <c r="N92" i="1"/>
  <c r="O92" i="1"/>
  <c r="P92" i="1"/>
  <c r="Q92" i="1"/>
  <c r="R92" i="1"/>
  <c r="S92" i="1"/>
  <c r="L93" i="1"/>
  <c r="M93" i="1"/>
  <c r="N93" i="1"/>
  <c r="O93" i="1"/>
  <c r="P93" i="1"/>
  <c r="Q93" i="1"/>
  <c r="R93" i="1"/>
  <c r="S93" i="1"/>
  <c r="L94" i="1"/>
  <c r="M94" i="1"/>
  <c r="N94" i="1"/>
  <c r="O94" i="1"/>
  <c r="P94" i="1"/>
  <c r="Q94" i="1"/>
  <c r="R94" i="1"/>
  <c r="S94" i="1"/>
  <c r="L95" i="1"/>
  <c r="M95" i="1"/>
  <c r="N95" i="1"/>
  <c r="O95" i="1"/>
  <c r="P95" i="1"/>
  <c r="Q95" i="1"/>
  <c r="R95" i="1"/>
  <c r="S95" i="1"/>
  <c r="L96" i="1"/>
  <c r="M96" i="1"/>
  <c r="N96" i="1"/>
  <c r="O96" i="1"/>
  <c r="P96" i="1"/>
  <c r="Q96" i="1"/>
  <c r="R96" i="1"/>
  <c r="S96" i="1"/>
  <c r="L100" i="1" a="1"/>
  <c r="M100" i="1"/>
  <c r="N100" i="1"/>
  <c r="O100" i="1"/>
  <c r="P100" i="1"/>
  <c r="Q100" i="1"/>
  <c r="R100" i="1"/>
  <c r="S100" i="1"/>
  <c r="L101" i="1"/>
  <c r="M101" i="1"/>
  <c r="N101" i="1"/>
  <c r="O101" i="1"/>
  <c r="P101" i="1"/>
  <c r="Q101" i="1"/>
  <c r="R101" i="1"/>
  <c r="S101" i="1"/>
  <c r="L102" i="1"/>
  <c r="M102" i="1"/>
  <c r="N102" i="1"/>
  <c r="O102" i="1"/>
  <c r="P102" i="1"/>
  <c r="Q102" i="1"/>
  <c r="R102" i="1"/>
  <c r="S102" i="1"/>
  <c r="L103" i="1"/>
  <c r="M103" i="1"/>
  <c r="N103" i="1"/>
  <c r="O103" i="1"/>
  <c r="P103" i="1"/>
  <c r="Q103" i="1"/>
  <c r="R103" i="1"/>
  <c r="S103" i="1"/>
  <c r="L104" i="1"/>
  <c r="M104" i="1"/>
  <c r="N104" i="1"/>
  <c r="O104" i="1"/>
  <c r="P104" i="1"/>
  <c r="Q104" i="1"/>
  <c r="R104" i="1"/>
  <c r="S104" i="1"/>
  <c r="L105" i="1"/>
  <c r="M105" i="1"/>
  <c r="N105" i="1"/>
  <c r="O105" i="1"/>
  <c r="P105" i="1"/>
  <c r="Q105" i="1"/>
  <c r="R105" i="1"/>
  <c r="S105" i="1"/>
  <c r="L106" i="1"/>
  <c r="M106" i="1"/>
  <c r="N106" i="1"/>
  <c r="O106" i="1"/>
  <c r="P106" i="1"/>
  <c r="Q106" i="1"/>
  <c r="R106" i="1"/>
  <c r="S106" i="1"/>
  <c r="L107" i="1"/>
  <c r="M107" i="1"/>
  <c r="N107" i="1"/>
  <c r="O107" i="1"/>
  <c r="P107" i="1"/>
  <c r="Q107" i="1"/>
  <c r="R107" i="1"/>
  <c r="S107" i="1"/>
  <c r="L100" i="1"/>
</calcChain>
</file>

<file path=xl/sharedStrings.xml><?xml version="1.0" encoding="utf-8"?>
<sst xmlns="http://schemas.openxmlformats.org/spreadsheetml/2006/main" count="9" uniqueCount="9">
  <si>
    <t>Obs.</t>
  </si>
  <si>
    <t>sexo</t>
  </si>
  <si>
    <t>est</t>
  </si>
  <si>
    <t>pes</t>
  </si>
  <si>
    <t>pie</t>
  </si>
  <si>
    <t>lbr</t>
  </si>
  <si>
    <t>aes</t>
  </si>
  <si>
    <t>dcr</t>
  </si>
  <si>
    <t>lrt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</si>
</sst>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charset val="134"/>
      <scheme val="minor"/>
    </font>
    <font>
      <sz val="11"/>
      <name val="Arial"/>
      <charset val="1"/>
    </font>
    <font>
      <b/>
      <sz val="15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C000"/>
        <bgColor rgb="FF666699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DDEB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16" fontId="0" fillId="0" borderId="0" xfId="0" applyNumberFormat="1" applyAlignment="1">
      <alignment vertical="center"/>
    </xf>
    <xf numFmtId="0" fontId="0" fillId="0" borderId="0" xfId="0" applyAlignment="1"/>
    <xf numFmtId="0" fontId="2" fillId="2" borderId="0" xfId="0" applyFont="1" applyFill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V107"/>
  <sheetViews>
    <sheetView showGridLines="0" tabSelected="1" topLeftCell="A36" zoomScale="30" zoomScaleNormal="30" workbookViewId="0">
      <selection activeCell="L101" sqref="L101"/>
    </sheetView>
  </sheetViews>
  <sheetFormatPr defaultColWidth="8.7421875" defaultRowHeight="15" x14ac:dyDescent="0.2"/>
  <cols>
    <col min="3" max="10" width="12.77734375" style="3" customWidth="1"/>
    <col min="12" max="12" width="13.98828125" style="3" customWidth="1"/>
    <col min="13" max="14" width="12.77734375" style="3" customWidth="1"/>
    <col min="15" max="15" width="12.375" style="3" customWidth="1"/>
    <col min="16" max="16" width="7.26171875" style="3" customWidth="1"/>
    <col min="17" max="18" width="12.77734375" style="3" customWidth="1"/>
    <col min="19" max="19" width="11.703125" style="3" customWidth="1"/>
    <col min="22" max="22" width="13.98828125" style="3" customWidth="1"/>
    <col min="23" max="29" width="12.77734375" style="3" customWidth="1"/>
  </cols>
  <sheetData>
    <row r="1" spans="2:23" ht="19.5" x14ac:dyDescent="0.2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2:23" x14ac:dyDescent="0.2">
      <c r="B2" s="5">
        <v>1</v>
      </c>
      <c r="C2" s="5">
        <v>0</v>
      </c>
      <c r="D2" s="5">
        <v>159</v>
      </c>
      <c r="E2" s="5">
        <v>49</v>
      </c>
      <c r="F2" s="5">
        <v>36</v>
      </c>
      <c r="G2" s="5">
        <v>68</v>
      </c>
      <c r="H2" s="5">
        <v>42</v>
      </c>
      <c r="I2" s="5">
        <v>57</v>
      </c>
      <c r="J2" s="5">
        <v>40</v>
      </c>
      <c r="L2" s="5">
        <v>1</v>
      </c>
    </row>
    <row r="3" spans="2:23" x14ac:dyDescent="0.2">
      <c r="B3" s="5">
        <v>2</v>
      </c>
      <c r="C3" s="5">
        <v>1</v>
      </c>
      <c r="D3" s="5">
        <v>164</v>
      </c>
      <c r="E3" s="5">
        <v>62</v>
      </c>
      <c r="F3" s="5">
        <v>39</v>
      </c>
      <c r="G3" s="5">
        <v>73</v>
      </c>
      <c r="H3" s="5">
        <v>44</v>
      </c>
      <c r="I3" s="5">
        <v>55</v>
      </c>
      <c r="J3" s="5">
        <v>44</v>
      </c>
      <c r="L3" s="5">
        <v>1</v>
      </c>
      <c r="N3" s="5">
        <f>1/27</f>
        <v>3.7037037037037035E-2</v>
      </c>
      <c r="P3" s="5">
        <f t="array" ref="P3:P10">+MMULT(C36:AC43,L2:L28)</f>
        <v>12</v>
      </c>
      <c r="R3" s="5">
        <f t="array" ref="R3:R10">+N3*_xlfn.ANCHORARRAY(P3)</f>
        <v>0.44444444444444442</v>
      </c>
    </row>
    <row r="4" spans="2:23" x14ac:dyDescent="0.2">
      <c r="B4" s="6">
        <v>3</v>
      </c>
      <c r="C4" s="6">
        <v>0</v>
      </c>
      <c r="D4" s="6">
        <v>172</v>
      </c>
      <c r="E4" s="6">
        <v>65</v>
      </c>
      <c r="F4" s="6">
        <v>38</v>
      </c>
      <c r="G4" s="6">
        <v>75</v>
      </c>
      <c r="H4" s="6">
        <v>48</v>
      </c>
      <c r="I4" s="6">
        <v>58</v>
      </c>
      <c r="J4" s="6">
        <v>44</v>
      </c>
      <c r="L4" s="7">
        <v>1</v>
      </c>
      <c r="P4" s="7">
        <v>4557</v>
      </c>
      <c r="R4" s="7">
        <v>168.77777777777777</v>
      </c>
    </row>
    <row r="5" spans="2:23" x14ac:dyDescent="0.2">
      <c r="B5" s="6">
        <v>4</v>
      </c>
      <c r="C5" s="6">
        <v>0</v>
      </c>
      <c r="D5" s="6">
        <v>167</v>
      </c>
      <c r="E5" s="6">
        <v>52</v>
      </c>
      <c r="F5" s="6">
        <v>37</v>
      </c>
      <c r="G5" s="6">
        <v>73</v>
      </c>
      <c r="H5" s="6">
        <v>41.5</v>
      </c>
      <c r="I5" s="6">
        <v>58</v>
      </c>
      <c r="J5" s="6">
        <v>44</v>
      </c>
      <c r="L5" s="7">
        <v>1</v>
      </c>
      <c r="P5" s="7">
        <v>1725</v>
      </c>
      <c r="R5" s="7">
        <v>63.888888888888886</v>
      </c>
    </row>
    <row r="6" spans="2:23" x14ac:dyDescent="0.2">
      <c r="B6" s="6">
        <v>5</v>
      </c>
      <c r="C6" s="6">
        <v>0</v>
      </c>
      <c r="D6" s="6">
        <v>164</v>
      </c>
      <c r="E6" s="6">
        <v>51</v>
      </c>
      <c r="F6" s="6">
        <v>36</v>
      </c>
      <c r="G6" s="6">
        <v>71</v>
      </c>
      <c r="H6" s="6">
        <v>44.5</v>
      </c>
      <c r="I6" s="6">
        <v>54</v>
      </c>
      <c r="J6" s="6">
        <v>40</v>
      </c>
      <c r="L6" s="7">
        <v>1</v>
      </c>
      <c r="P6" s="7">
        <v>1052.5</v>
      </c>
      <c r="R6" s="7">
        <v>38.981481481481481</v>
      </c>
    </row>
    <row r="7" spans="2:23" x14ac:dyDescent="0.2">
      <c r="B7" s="6">
        <v>6</v>
      </c>
      <c r="C7" s="6">
        <v>0</v>
      </c>
      <c r="D7" s="6">
        <v>161</v>
      </c>
      <c r="E7" s="6">
        <v>67</v>
      </c>
      <c r="F7" s="6">
        <v>38</v>
      </c>
      <c r="G7" s="6">
        <v>71</v>
      </c>
      <c r="H7" s="6">
        <v>44</v>
      </c>
      <c r="I7" s="6">
        <v>56</v>
      </c>
      <c r="J7" s="6">
        <v>42</v>
      </c>
      <c r="L7" s="7">
        <v>1</v>
      </c>
      <c r="P7" s="7">
        <v>1983.5</v>
      </c>
      <c r="R7" s="7">
        <v>73.462962962962962</v>
      </c>
    </row>
    <row r="8" spans="2:23" x14ac:dyDescent="0.2">
      <c r="B8" s="6">
        <v>7</v>
      </c>
      <c r="C8" s="6">
        <v>0</v>
      </c>
      <c r="D8" s="6">
        <v>168</v>
      </c>
      <c r="E8" s="6">
        <v>48</v>
      </c>
      <c r="F8" s="6">
        <v>39</v>
      </c>
      <c r="G8" s="6">
        <v>72.5</v>
      </c>
      <c r="H8" s="6">
        <v>41</v>
      </c>
      <c r="I8" s="6">
        <v>54.5</v>
      </c>
      <c r="J8" s="6">
        <v>43</v>
      </c>
      <c r="L8" s="7">
        <v>1</v>
      </c>
      <c r="P8" s="7">
        <v>1238</v>
      </c>
      <c r="R8" s="7">
        <v>45.851851851851848</v>
      </c>
    </row>
    <row r="9" spans="2:23" x14ac:dyDescent="0.2">
      <c r="B9" s="6">
        <v>8</v>
      </c>
      <c r="C9" s="6">
        <v>1</v>
      </c>
      <c r="D9" s="6">
        <v>181</v>
      </c>
      <c r="E9" s="6">
        <v>74</v>
      </c>
      <c r="F9" s="6">
        <v>43</v>
      </c>
      <c r="G9" s="6">
        <v>74</v>
      </c>
      <c r="H9" s="6">
        <v>50</v>
      </c>
      <c r="I9" s="6">
        <v>60</v>
      </c>
      <c r="J9" s="6">
        <v>47</v>
      </c>
      <c r="L9" s="7">
        <v>1</v>
      </c>
      <c r="P9" s="7">
        <v>1545.5</v>
      </c>
      <c r="R9" s="7">
        <v>57.24074074074074</v>
      </c>
    </row>
    <row r="10" spans="2:23" x14ac:dyDescent="0.2">
      <c r="B10" s="6">
        <v>9</v>
      </c>
      <c r="C10" s="6">
        <v>1</v>
      </c>
      <c r="D10" s="6">
        <v>183</v>
      </c>
      <c r="E10" s="6">
        <v>74</v>
      </c>
      <c r="F10" s="6">
        <v>41</v>
      </c>
      <c r="G10" s="6">
        <v>79</v>
      </c>
      <c r="H10" s="6">
        <v>47.5</v>
      </c>
      <c r="I10" s="6">
        <v>59.5</v>
      </c>
      <c r="J10" s="6">
        <v>47</v>
      </c>
      <c r="L10" s="7">
        <v>1</v>
      </c>
      <c r="P10" s="7">
        <v>1163.5</v>
      </c>
      <c r="R10" s="7">
        <v>43.092592592592588</v>
      </c>
    </row>
    <row r="11" spans="2:23" x14ac:dyDescent="0.2">
      <c r="B11" s="6">
        <v>10</v>
      </c>
      <c r="C11" s="6">
        <v>0</v>
      </c>
      <c r="D11" s="6">
        <v>158</v>
      </c>
      <c r="E11" s="6">
        <v>50</v>
      </c>
      <c r="F11" s="6">
        <v>36</v>
      </c>
      <c r="G11" s="6">
        <v>68.5</v>
      </c>
      <c r="H11" s="6">
        <v>44</v>
      </c>
      <c r="I11" s="6">
        <v>57</v>
      </c>
      <c r="J11" s="6">
        <v>41</v>
      </c>
      <c r="L11" s="7">
        <v>1</v>
      </c>
    </row>
    <row r="12" spans="2:23" x14ac:dyDescent="0.2">
      <c r="B12" s="6">
        <v>11</v>
      </c>
      <c r="C12" s="6">
        <v>0</v>
      </c>
      <c r="D12" s="6">
        <v>156</v>
      </c>
      <c r="E12" s="6">
        <v>65</v>
      </c>
      <c r="F12" s="6">
        <v>36</v>
      </c>
      <c r="G12" s="6">
        <v>68</v>
      </c>
      <c r="H12" s="6">
        <v>46</v>
      </c>
      <c r="I12" s="6">
        <v>58</v>
      </c>
      <c r="J12" s="6">
        <v>41</v>
      </c>
      <c r="L12" s="7">
        <v>1</v>
      </c>
    </row>
    <row r="13" spans="2:23" x14ac:dyDescent="0.2">
      <c r="B13" s="6">
        <v>12</v>
      </c>
      <c r="C13" s="6">
        <v>1</v>
      </c>
      <c r="D13" s="6">
        <v>173</v>
      </c>
      <c r="E13" s="6">
        <v>64</v>
      </c>
      <c r="F13" s="6">
        <v>40</v>
      </c>
      <c r="G13" s="6">
        <v>79</v>
      </c>
      <c r="H13" s="6">
        <v>48</v>
      </c>
      <c r="I13" s="6">
        <v>56.5</v>
      </c>
      <c r="J13" s="6">
        <v>47</v>
      </c>
      <c r="L13" s="7">
        <v>1</v>
      </c>
    </row>
    <row r="14" spans="2:23" x14ac:dyDescent="0.2">
      <c r="B14" s="6">
        <v>13</v>
      </c>
      <c r="C14" s="6">
        <v>0</v>
      </c>
      <c r="D14" s="6">
        <v>158</v>
      </c>
      <c r="E14" s="6">
        <v>43</v>
      </c>
      <c r="F14" s="6">
        <v>36</v>
      </c>
      <c r="G14" s="6">
        <v>68</v>
      </c>
      <c r="H14" s="6">
        <v>43</v>
      </c>
      <c r="I14" s="6">
        <v>55</v>
      </c>
      <c r="J14" s="6">
        <v>39</v>
      </c>
      <c r="L14" s="7">
        <v>1</v>
      </c>
      <c r="P14" s="8">
        <f t="array" ref="P14:W14">TRANSPOSE(_xlfn.ANCHORARRAY(R3))</f>
        <v>0.44444444444444442</v>
      </c>
      <c r="Q14" s="8">
        <v>168.77777777777777</v>
      </c>
      <c r="R14" s="8">
        <v>63.888888888888886</v>
      </c>
      <c r="S14" s="8">
        <v>38.981481481481481</v>
      </c>
      <c r="T14" s="8">
        <v>73.462962962962962</v>
      </c>
      <c r="U14" s="8">
        <v>45.851851851851848</v>
      </c>
      <c r="V14" s="8">
        <v>57.24074074074074</v>
      </c>
      <c r="W14" s="8">
        <v>43.092592592592588</v>
      </c>
    </row>
    <row r="15" spans="2:23" x14ac:dyDescent="0.2">
      <c r="B15" s="6">
        <v>14</v>
      </c>
      <c r="C15" s="6">
        <v>1</v>
      </c>
      <c r="D15" s="6">
        <v>178</v>
      </c>
      <c r="E15" s="6">
        <v>74</v>
      </c>
      <c r="F15" s="6">
        <v>42</v>
      </c>
      <c r="G15" s="6">
        <v>75</v>
      </c>
      <c r="H15" s="6">
        <v>50</v>
      </c>
      <c r="I15" s="6">
        <v>59</v>
      </c>
      <c r="J15" s="6">
        <v>45</v>
      </c>
      <c r="L15" s="7">
        <v>1</v>
      </c>
    </row>
    <row r="16" spans="2:23" x14ac:dyDescent="0.2">
      <c r="B16" s="6">
        <v>15</v>
      </c>
      <c r="C16" s="6">
        <v>1</v>
      </c>
      <c r="D16" s="6">
        <v>181</v>
      </c>
      <c r="E16" s="6">
        <v>76</v>
      </c>
      <c r="F16" s="6">
        <v>43</v>
      </c>
      <c r="G16" s="6">
        <v>83</v>
      </c>
      <c r="H16" s="6">
        <v>51</v>
      </c>
      <c r="I16" s="6">
        <v>57</v>
      </c>
      <c r="J16" s="6">
        <v>43</v>
      </c>
      <c r="L16" s="7">
        <v>1</v>
      </c>
    </row>
    <row r="17" spans="2:12" x14ac:dyDescent="0.2">
      <c r="B17" s="6">
        <v>16</v>
      </c>
      <c r="C17" s="6">
        <v>1</v>
      </c>
      <c r="D17" s="6">
        <v>182</v>
      </c>
      <c r="E17" s="6">
        <v>91</v>
      </c>
      <c r="F17" s="6">
        <v>41</v>
      </c>
      <c r="G17" s="6">
        <v>83</v>
      </c>
      <c r="H17" s="6">
        <v>53</v>
      </c>
      <c r="I17" s="6">
        <v>59</v>
      </c>
      <c r="J17" s="6">
        <v>43</v>
      </c>
      <c r="L17" s="7">
        <v>1</v>
      </c>
    </row>
    <row r="18" spans="2:12" x14ac:dyDescent="0.2">
      <c r="B18" s="6">
        <v>17</v>
      </c>
      <c r="C18" s="6">
        <v>1</v>
      </c>
      <c r="D18" s="6">
        <v>176</v>
      </c>
      <c r="E18" s="6">
        <v>73</v>
      </c>
      <c r="F18" s="6">
        <v>42</v>
      </c>
      <c r="G18" s="6">
        <v>78</v>
      </c>
      <c r="H18" s="6">
        <v>48</v>
      </c>
      <c r="I18" s="6">
        <v>58</v>
      </c>
      <c r="J18" s="6">
        <v>45</v>
      </c>
      <c r="L18" s="7">
        <v>1</v>
      </c>
    </row>
    <row r="19" spans="2:12" x14ac:dyDescent="0.2">
      <c r="B19" s="6">
        <v>18</v>
      </c>
      <c r="C19" s="6">
        <v>0</v>
      </c>
      <c r="D19" s="6">
        <v>162</v>
      </c>
      <c r="E19" s="6">
        <v>68</v>
      </c>
      <c r="F19" s="6">
        <v>39</v>
      </c>
      <c r="G19" s="6">
        <v>72</v>
      </c>
      <c r="H19" s="6">
        <v>44</v>
      </c>
      <c r="I19" s="6">
        <v>59</v>
      </c>
      <c r="J19" s="6">
        <v>42</v>
      </c>
      <c r="L19" s="7">
        <v>1</v>
      </c>
    </row>
    <row r="20" spans="2:12" x14ac:dyDescent="0.2">
      <c r="B20" s="6">
        <v>19</v>
      </c>
      <c r="C20" s="6">
        <v>0</v>
      </c>
      <c r="D20" s="6">
        <v>156</v>
      </c>
      <c r="E20" s="6">
        <v>52</v>
      </c>
      <c r="F20" s="6">
        <v>36</v>
      </c>
      <c r="G20" s="6">
        <v>67</v>
      </c>
      <c r="H20" s="6">
        <v>36</v>
      </c>
      <c r="I20" s="6">
        <v>56</v>
      </c>
      <c r="J20" s="6">
        <v>41</v>
      </c>
      <c r="L20" s="7">
        <v>1</v>
      </c>
    </row>
    <row r="21" spans="2:12" x14ac:dyDescent="0.2">
      <c r="B21" s="6">
        <v>20</v>
      </c>
      <c r="C21" s="6">
        <v>0</v>
      </c>
      <c r="D21" s="6">
        <v>152</v>
      </c>
      <c r="E21" s="6">
        <v>45</v>
      </c>
      <c r="F21" s="6">
        <v>34</v>
      </c>
      <c r="G21" s="6">
        <v>66</v>
      </c>
      <c r="H21" s="6">
        <v>40</v>
      </c>
      <c r="I21" s="6">
        <v>55</v>
      </c>
      <c r="J21" s="6">
        <v>38</v>
      </c>
      <c r="L21" s="7">
        <v>1</v>
      </c>
    </row>
    <row r="22" spans="2:12" x14ac:dyDescent="0.2">
      <c r="B22" s="6">
        <v>21</v>
      </c>
      <c r="C22" s="6">
        <v>1</v>
      </c>
      <c r="D22" s="6">
        <v>181</v>
      </c>
      <c r="E22" s="6">
        <v>80</v>
      </c>
      <c r="F22" s="6">
        <v>43</v>
      </c>
      <c r="G22" s="6">
        <v>76</v>
      </c>
      <c r="H22" s="6">
        <v>49</v>
      </c>
      <c r="I22" s="6">
        <v>57</v>
      </c>
      <c r="J22" s="6">
        <v>46</v>
      </c>
      <c r="L22" s="7">
        <v>1</v>
      </c>
    </row>
    <row r="23" spans="2:12" x14ac:dyDescent="0.2">
      <c r="B23" s="6">
        <v>22</v>
      </c>
      <c r="C23" s="6">
        <v>1</v>
      </c>
      <c r="D23" s="6">
        <v>173</v>
      </c>
      <c r="E23" s="6">
        <v>69</v>
      </c>
      <c r="F23" s="6">
        <v>41</v>
      </c>
      <c r="G23" s="6">
        <v>74</v>
      </c>
      <c r="H23" s="6">
        <v>48</v>
      </c>
      <c r="I23" s="6">
        <v>56</v>
      </c>
      <c r="J23" s="6">
        <v>44</v>
      </c>
      <c r="L23" s="7">
        <v>1</v>
      </c>
    </row>
    <row r="24" spans="2:12" x14ac:dyDescent="0.2">
      <c r="B24" s="6">
        <v>23</v>
      </c>
      <c r="C24" s="6">
        <v>0</v>
      </c>
      <c r="D24" s="6">
        <v>155</v>
      </c>
      <c r="E24" s="6">
        <v>53</v>
      </c>
      <c r="F24" s="6">
        <v>36</v>
      </c>
      <c r="G24" s="6">
        <v>67</v>
      </c>
      <c r="H24" s="6">
        <v>43</v>
      </c>
      <c r="I24" s="6">
        <v>56</v>
      </c>
      <c r="J24" s="6">
        <v>38</v>
      </c>
      <c r="L24" s="7">
        <v>1</v>
      </c>
    </row>
    <row r="25" spans="2:12" x14ac:dyDescent="0.2">
      <c r="B25" s="6">
        <v>24</v>
      </c>
      <c r="C25" s="6">
        <v>1</v>
      </c>
      <c r="D25" s="6">
        <v>189</v>
      </c>
      <c r="E25" s="6">
        <v>87</v>
      </c>
      <c r="F25" s="6">
        <v>45</v>
      </c>
      <c r="G25" s="6">
        <v>82</v>
      </c>
      <c r="H25" s="6">
        <v>53</v>
      </c>
      <c r="I25" s="6">
        <v>61</v>
      </c>
      <c r="J25" s="6">
        <v>52</v>
      </c>
      <c r="L25" s="7">
        <v>1</v>
      </c>
    </row>
    <row r="26" spans="2:12" x14ac:dyDescent="0.2">
      <c r="B26" s="6">
        <v>25</v>
      </c>
      <c r="C26" s="6">
        <v>0</v>
      </c>
      <c r="D26" s="6">
        <v>170</v>
      </c>
      <c r="E26" s="6">
        <v>70</v>
      </c>
      <c r="F26" s="6">
        <v>38</v>
      </c>
      <c r="G26" s="6">
        <v>73</v>
      </c>
      <c r="H26" s="6">
        <v>45</v>
      </c>
      <c r="I26" s="6">
        <v>56</v>
      </c>
      <c r="J26" s="6">
        <v>43</v>
      </c>
      <c r="L26" s="7">
        <v>1</v>
      </c>
    </row>
    <row r="27" spans="2:12" x14ac:dyDescent="0.2">
      <c r="B27" s="6">
        <v>26</v>
      </c>
      <c r="C27" s="6">
        <v>1</v>
      </c>
      <c r="D27" s="6">
        <v>170</v>
      </c>
      <c r="E27" s="6">
        <v>67</v>
      </c>
      <c r="F27" s="6">
        <v>40</v>
      </c>
      <c r="G27" s="6">
        <v>77</v>
      </c>
      <c r="H27" s="6">
        <v>46.5</v>
      </c>
      <c r="I27" s="6">
        <v>58</v>
      </c>
      <c r="J27" s="6">
        <v>44.5</v>
      </c>
      <c r="L27" s="7">
        <v>1</v>
      </c>
    </row>
    <row r="28" spans="2:12" x14ac:dyDescent="0.2">
      <c r="B28" s="6">
        <v>27</v>
      </c>
      <c r="C28" s="6">
        <v>0</v>
      </c>
      <c r="D28" s="6">
        <v>168</v>
      </c>
      <c r="E28" s="6">
        <v>56</v>
      </c>
      <c r="F28" s="6">
        <v>37.5</v>
      </c>
      <c r="G28" s="6">
        <v>70.5</v>
      </c>
      <c r="H28" s="6">
        <v>48</v>
      </c>
      <c r="I28" s="6">
        <v>60</v>
      </c>
      <c r="J28" s="6">
        <v>40</v>
      </c>
      <c r="L28" s="7">
        <v>1</v>
      </c>
    </row>
    <row r="30" spans="2:12" x14ac:dyDescent="0.2">
      <c r="B30" s="1"/>
      <c r="C30" s="9">
        <f>+AVERAGE(C2:C28)</f>
        <v>0.44444444444444442</v>
      </c>
      <c r="D30" s="9">
        <f>+AVERAGE(D2:D28)</f>
        <v>168.77777777777777</v>
      </c>
      <c r="E30" s="9">
        <f>+AVERAGE(E2:E28)</f>
        <v>63.888888888888886</v>
      </c>
      <c r="F30" s="9">
        <f>+AVERAGE(F2:F28)</f>
        <v>38.981481481481481</v>
      </c>
      <c r="G30" s="9">
        <f>+AVERAGE(G2:G28)</f>
        <v>73.462962962962962</v>
      </c>
      <c r="H30" s="9">
        <f>+AVERAGE(H2:H28)</f>
        <v>45.851851851851855</v>
      </c>
      <c r="I30" s="9">
        <f>+AVERAGE(I2:I28)</f>
        <v>57.24074074074074</v>
      </c>
      <c r="J30" s="9">
        <f>+AVERAGE(J2:J28)</f>
        <v>43.092592592592595</v>
      </c>
    </row>
    <row r="31" spans="2:12" x14ac:dyDescent="0.2">
      <c r="B31" s="1"/>
      <c r="C31" s="10">
        <f>+VAR(C2:C28)</f>
        <v>0.25641025641025644</v>
      </c>
      <c r="D31" s="10">
        <f>+VAR(D2:D28)</f>
        <v>103.94871794871794</v>
      </c>
      <c r="E31" s="10">
        <f>+VAR(E2:E28)</f>
        <v>163.87179487179506</v>
      </c>
      <c r="F31" s="10">
        <f>+VAR(F2:F28)</f>
        <v>8.2015669515669529</v>
      </c>
      <c r="G31" s="10">
        <f>+VAR(G2:G28)</f>
        <v>24.575498575498571</v>
      </c>
      <c r="H31" s="10">
        <f>+VAR(H2:H28)</f>
        <v>16.169515669515668</v>
      </c>
      <c r="I31" s="10">
        <f>+VAR(I2:I28)</f>
        <v>3.3917378917378898</v>
      </c>
      <c r="J31" s="10">
        <f>+VAR(J2:J28)</f>
        <v>9.9622507122507127</v>
      </c>
    </row>
    <row r="36" spans="3:48" x14ac:dyDescent="0.2">
      <c r="C36" s="6">
        <v>0</v>
      </c>
      <c r="D36" s="6">
        <v>1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1</v>
      </c>
      <c r="K36" s="6">
        <v>1</v>
      </c>
      <c r="L36" s="6">
        <v>0</v>
      </c>
      <c r="M36" s="6">
        <v>0</v>
      </c>
      <c r="N36" s="6">
        <v>1</v>
      </c>
      <c r="O36" s="6">
        <v>0</v>
      </c>
      <c r="P36" s="6">
        <v>1</v>
      </c>
      <c r="Q36" s="6">
        <v>1</v>
      </c>
      <c r="R36" s="6">
        <v>1</v>
      </c>
      <c r="S36" s="6">
        <v>1</v>
      </c>
      <c r="T36" s="6">
        <v>0</v>
      </c>
      <c r="U36" s="6">
        <v>0</v>
      </c>
      <c r="V36" s="6">
        <v>0</v>
      </c>
      <c r="W36" s="6">
        <v>1</v>
      </c>
      <c r="X36" s="6">
        <v>1</v>
      </c>
      <c r="Y36" s="6">
        <v>0</v>
      </c>
      <c r="Z36" s="6">
        <v>1</v>
      </c>
      <c r="AA36" s="6">
        <v>0</v>
      </c>
      <c r="AB36" s="6">
        <v>1</v>
      </c>
      <c r="AC36" s="6">
        <v>0</v>
      </c>
    </row>
    <row r="37" spans="3:48" x14ac:dyDescent="0.2">
      <c r="C37" s="6">
        <v>159</v>
      </c>
      <c r="D37" s="6">
        <v>164</v>
      </c>
      <c r="E37" s="6">
        <v>172</v>
      </c>
      <c r="F37" s="6">
        <v>167</v>
      </c>
      <c r="G37" s="6">
        <v>164</v>
      </c>
      <c r="H37" s="6">
        <v>161</v>
      </c>
      <c r="I37" s="6">
        <v>168</v>
      </c>
      <c r="J37" s="6">
        <v>181</v>
      </c>
      <c r="K37" s="6">
        <v>183</v>
      </c>
      <c r="L37" s="6">
        <v>158</v>
      </c>
      <c r="M37" s="6">
        <v>156</v>
      </c>
      <c r="N37" s="6">
        <v>173</v>
      </c>
      <c r="O37" s="6">
        <v>158</v>
      </c>
      <c r="P37" s="6">
        <v>178</v>
      </c>
      <c r="Q37" s="6">
        <v>181</v>
      </c>
      <c r="R37" s="6">
        <v>182</v>
      </c>
      <c r="S37" s="6">
        <v>176</v>
      </c>
      <c r="T37" s="6">
        <v>162</v>
      </c>
      <c r="U37" s="6">
        <v>156</v>
      </c>
      <c r="V37" s="6">
        <v>152</v>
      </c>
      <c r="W37" s="6">
        <v>181</v>
      </c>
      <c r="X37" s="6">
        <v>173</v>
      </c>
      <c r="Y37" s="6">
        <v>155</v>
      </c>
      <c r="Z37" s="6">
        <v>189</v>
      </c>
      <c r="AA37" s="6">
        <v>170</v>
      </c>
      <c r="AB37" s="6">
        <v>170</v>
      </c>
      <c r="AC37" s="6">
        <v>168</v>
      </c>
    </row>
    <row r="38" spans="3:48" x14ac:dyDescent="0.2">
      <c r="C38" s="6">
        <v>49</v>
      </c>
      <c r="D38" s="6">
        <v>62</v>
      </c>
      <c r="E38" s="6">
        <v>65</v>
      </c>
      <c r="F38" s="6">
        <v>52</v>
      </c>
      <c r="G38" s="6">
        <v>51</v>
      </c>
      <c r="H38" s="6">
        <v>67</v>
      </c>
      <c r="I38" s="6">
        <v>48</v>
      </c>
      <c r="J38" s="6">
        <v>74</v>
      </c>
      <c r="K38" s="6">
        <v>74</v>
      </c>
      <c r="L38" s="6">
        <v>50</v>
      </c>
      <c r="M38" s="6">
        <v>65</v>
      </c>
      <c r="N38" s="6">
        <v>64</v>
      </c>
      <c r="O38" s="6">
        <v>43</v>
      </c>
      <c r="P38" s="6">
        <v>74</v>
      </c>
      <c r="Q38" s="6">
        <v>76</v>
      </c>
      <c r="R38" s="6">
        <v>91</v>
      </c>
      <c r="S38" s="6">
        <v>73</v>
      </c>
      <c r="T38" s="6">
        <v>68</v>
      </c>
      <c r="U38" s="6">
        <v>52</v>
      </c>
      <c r="V38" s="6">
        <v>45</v>
      </c>
      <c r="W38" s="6">
        <v>80</v>
      </c>
      <c r="X38" s="6">
        <v>69</v>
      </c>
      <c r="Y38" s="6">
        <v>53</v>
      </c>
      <c r="Z38" s="6">
        <v>87</v>
      </c>
      <c r="AA38" s="6">
        <v>70</v>
      </c>
      <c r="AB38" s="6">
        <v>67</v>
      </c>
      <c r="AC38" s="6">
        <v>56</v>
      </c>
    </row>
    <row r="39" spans="3:48" x14ac:dyDescent="0.2">
      <c r="C39" s="6">
        <v>36</v>
      </c>
      <c r="D39" s="6">
        <v>39</v>
      </c>
      <c r="E39" s="6">
        <v>38</v>
      </c>
      <c r="F39" s="6">
        <v>37</v>
      </c>
      <c r="G39" s="6">
        <v>36</v>
      </c>
      <c r="H39" s="6">
        <v>38</v>
      </c>
      <c r="I39" s="6">
        <v>39</v>
      </c>
      <c r="J39" s="6">
        <v>43</v>
      </c>
      <c r="K39" s="6">
        <v>41</v>
      </c>
      <c r="L39" s="6">
        <v>36</v>
      </c>
      <c r="M39" s="6">
        <v>36</v>
      </c>
      <c r="N39" s="6">
        <v>40</v>
      </c>
      <c r="O39" s="6">
        <v>36</v>
      </c>
      <c r="P39" s="6">
        <v>42</v>
      </c>
      <c r="Q39" s="6">
        <v>43</v>
      </c>
      <c r="R39" s="6">
        <v>41</v>
      </c>
      <c r="S39" s="6">
        <v>42</v>
      </c>
      <c r="T39" s="6">
        <v>39</v>
      </c>
      <c r="U39" s="6">
        <v>36</v>
      </c>
      <c r="V39" s="6">
        <v>34</v>
      </c>
      <c r="W39" s="6">
        <v>43</v>
      </c>
      <c r="X39" s="6">
        <v>41</v>
      </c>
      <c r="Y39" s="6">
        <v>36</v>
      </c>
      <c r="Z39" s="6">
        <v>45</v>
      </c>
      <c r="AA39" s="6">
        <v>38</v>
      </c>
      <c r="AB39" s="6">
        <v>40</v>
      </c>
      <c r="AC39" s="6">
        <v>37.5</v>
      </c>
    </row>
    <row r="40" spans="3:48" x14ac:dyDescent="0.2">
      <c r="C40" s="6">
        <v>68</v>
      </c>
      <c r="D40" s="6">
        <v>73</v>
      </c>
      <c r="E40" s="6">
        <v>75</v>
      </c>
      <c r="F40" s="6">
        <v>73</v>
      </c>
      <c r="G40" s="6">
        <v>71</v>
      </c>
      <c r="H40" s="6">
        <v>71</v>
      </c>
      <c r="I40" s="6">
        <v>72.5</v>
      </c>
      <c r="J40" s="6">
        <v>74</v>
      </c>
      <c r="K40" s="6">
        <v>79</v>
      </c>
      <c r="L40" s="6">
        <v>68.5</v>
      </c>
      <c r="M40" s="6">
        <v>68</v>
      </c>
      <c r="N40" s="6">
        <v>79</v>
      </c>
      <c r="O40" s="6">
        <v>68</v>
      </c>
      <c r="P40" s="6">
        <v>75</v>
      </c>
      <c r="Q40" s="6">
        <v>83</v>
      </c>
      <c r="R40" s="6">
        <v>83</v>
      </c>
      <c r="S40" s="6">
        <v>78</v>
      </c>
      <c r="T40" s="6">
        <v>72</v>
      </c>
      <c r="U40" s="6">
        <v>67</v>
      </c>
      <c r="V40" s="6">
        <v>66</v>
      </c>
      <c r="W40" s="6">
        <v>76</v>
      </c>
      <c r="X40" s="6">
        <v>74</v>
      </c>
      <c r="Y40" s="6">
        <v>67</v>
      </c>
      <c r="Z40" s="6">
        <v>82</v>
      </c>
      <c r="AA40" s="6">
        <v>73</v>
      </c>
      <c r="AB40" s="6">
        <v>77</v>
      </c>
      <c r="AC40" s="6">
        <v>70.5</v>
      </c>
    </row>
    <row r="41" spans="3:48" x14ac:dyDescent="0.2">
      <c r="C41" s="6">
        <v>42</v>
      </c>
      <c r="D41" s="6">
        <v>44</v>
      </c>
      <c r="E41" s="6">
        <v>48</v>
      </c>
      <c r="F41" s="6">
        <v>41.5</v>
      </c>
      <c r="G41" s="6">
        <v>44.5</v>
      </c>
      <c r="H41" s="6">
        <v>44</v>
      </c>
      <c r="I41" s="6">
        <v>41</v>
      </c>
      <c r="J41" s="6">
        <v>50</v>
      </c>
      <c r="K41" s="6">
        <v>47.5</v>
      </c>
      <c r="L41" s="6">
        <v>44</v>
      </c>
      <c r="M41" s="6">
        <v>46</v>
      </c>
      <c r="N41" s="6">
        <v>48</v>
      </c>
      <c r="O41" s="6">
        <v>43</v>
      </c>
      <c r="P41" s="6">
        <v>50</v>
      </c>
      <c r="Q41" s="6">
        <v>51</v>
      </c>
      <c r="R41" s="6">
        <v>53</v>
      </c>
      <c r="S41" s="6">
        <v>48</v>
      </c>
      <c r="T41" s="6">
        <v>44</v>
      </c>
      <c r="U41" s="6">
        <v>36</v>
      </c>
      <c r="V41" s="6">
        <v>40</v>
      </c>
      <c r="W41" s="6">
        <v>49</v>
      </c>
      <c r="X41" s="6">
        <v>48</v>
      </c>
      <c r="Y41" s="6">
        <v>43</v>
      </c>
      <c r="Z41" s="6">
        <v>53</v>
      </c>
      <c r="AA41" s="6">
        <v>45</v>
      </c>
      <c r="AB41" s="6">
        <v>46.5</v>
      </c>
      <c r="AC41" s="6">
        <v>48</v>
      </c>
    </row>
    <row r="42" spans="3:48" x14ac:dyDescent="0.2">
      <c r="C42" s="6">
        <v>57</v>
      </c>
      <c r="D42" s="6">
        <v>55</v>
      </c>
      <c r="E42" s="6">
        <v>58</v>
      </c>
      <c r="F42" s="6">
        <v>58</v>
      </c>
      <c r="G42" s="6">
        <v>54</v>
      </c>
      <c r="H42" s="6">
        <v>56</v>
      </c>
      <c r="I42" s="6">
        <v>54.5</v>
      </c>
      <c r="J42" s="6">
        <v>60</v>
      </c>
      <c r="K42" s="6">
        <v>59.5</v>
      </c>
      <c r="L42" s="6">
        <v>57</v>
      </c>
      <c r="M42" s="6">
        <v>58</v>
      </c>
      <c r="N42" s="6">
        <v>56.5</v>
      </c>
      <c r="O42" s="6">
        <v>55</v>
      </c>
      <c r="P42" s="6">
        <v>59</v>
      </c>
      <c r="Q42" s="6">
        <v>57</v>
      </c>
      <c r="R42" s="6">
        <v>59</v>
      </c>
      <c r="S42" s="6">
        <v>58</v>
      </c>
      <c r="T42" s="6">
        <v>59</v>
      </c>
      <c r="U42" s="6">
        <v>56</v>
      </c>
      <c r="V42" s="6">
        <v>55</v>
      </c>
      <c r="W42" s="6">
        <v>57</v>
      </c>
      <c r="X42" s="6">
        <v>56</v>
      </c>
      <c r="Y42" s="6">
        <v>56</v>
      </c>
      <c r="Z42" s="6">
        <v>61</v>
      </c>
      <c r="AA42" s="6">
        <v>56</v>
      </c>
      <c r="AB42" s="6">
        <v>58</v>
      </c>
      <c r="AC42" s="6">
        <v>60</v>
      </c>
    </row>
    <row r="43" spans="3:48" x14ac:dyDescent="0.2">
      <c r="C43" s="6">
        <v>40</v>
      </c>
      <c r="D43" s="6">
        <v>44</v>
      </c>
      <c r="E43" s="6">
        <v>44</v>
      </c>
      <c r="F43" s="6">
        <v>44</v>
      </c>
      <c r="G43" s="6">
        <v>40</v>
      </c>
      <c r="H43" s="6">
        <v>42</v>
      </c>
      <c r="I43" s="6">
        <v>43</v>
      </c>
      <c r="J43" s="6">
        <v>47</v>
      </c>
      <c r="K43" s="6">
        <v>47</v>
      </c>
      <c r="L43" s="6">
        <v>41</v>
      </c>
      <c r="M43" s="6">
        <v>41</v>
      </c>
      <c r="N43" s="6">
        <v>47</v>
      </c>
      <c r="O43" s="6">
        <v>39</v>
      </c>
      <c r="P43" s="6">
        <v>45</v>
      </c>
      <c r="Q43" s="6">
        <v>43</v>
      </c>
      <c r="R43" s="6">
        <v>43</v>
      </c>
      <c r="S43" s="6">
        <v>45</v>
      </c>
      <c r="T43" s="6">
        <v>42</v>
      </c>
      <c r="U43" s="6">
        <v>41</v>
      </c>
      <c r="V43" s="6">
        <v>38</v>
      </c>
      <c r="W43" s="6">
        <v>46</v>
      </c>
      <c r="X43" s="6">
        <v>44</v>
      </c>
      <c r="Y43" s="6">
        <v>38</v>
      </c>
      <c r="Z43" s="6">
        <v>52</v>
      </c>
      <c r="AA43" s="6">
        <v>43</v>
      </c>
      <c r="AB43" s="6">
        <v>44.5</v>
      </c>
      <c r="AC43" s="6">
        <v>40</v>
      </c>
    </row>
    <row r="48" spans="3:48" x14ac:dyDescent="0.2">
      <c r="C48" s="7">
        <f t="array" ref="C48:J74">+MMULT(L2:L28,_xlfn.ANCHORARRAY(P14))</f>
        <v>0.44444444444444442</v>
      </c>
      <c r="D48" s="7">
        <v>168.77777777777777</v>
      </c>
      <c r="E48" s="7">
        <v>63.888888888888886</v>
      </c>
      <c r="F48" s="7">
        <v>38.981481481481481</v>
      </c>
      <c r="G48" s="7">
        <v>73.462962962962962</v>
      </c>
      <c r="H48" s="7">
        <v>45.851851851851848</v>
      </c>
      <c r="I48" s="7">
        <v>57.24074074074074</v>
      </c>
      <c r="J48" s="7">
        <v>43.092592592592588</v>
      </c>
      <c r="L48" s="7">
        <f t="array" ref="L48:S74">+C2:J28-_xlfn.ANCHORARRAY(C48)</f>
        <v>-0.44444444444444442</v>
      </c>
      <c r="M48" s="7">
        <v>-9.7777777777777715</v>
      </c>
      <c r="N48" s="7">
        <v>-14.888888888888886</v>
      </c>
      <c r="O48" s="7">
        <v>-2.981481481481481</v>
      </c>
      <c r="P48" s="7">
        <v>-5.4629629629629619</v>
      </c>
      <c r="Q48" s="7">
        <v>-3.8518518518518476</v>
      </c>
      <c r="R48" s="7">
        <v>-0.24074074074074048</v>
      </c>
      <c r="S48" s="7">
        <v>-3.0925925925925881</v>
      </c>
      <c r="V48" s="7">
        <f t="array" ref="V48:AV55">TRANSPOSE(_xlfn.ANCHORARRAY(L48))</f>
        <v>-0.44444444444444442</v>
      </c>
      <c r="W48" s="7">
        <v>0.55555555555555558</v>
      </c>
      <c r="X48" s="7">
        <v>-0.44444444444444442</v>
      </c>
      <c r="Y48" s="7">
        <v>-0.44444444444444442</v>
      </c>
      <c r="Z48" s="7">
        <v>-0.44444444444444442</v>
      </c>
      <c r="AA48" s="7">
        <v>-0.44444444444444442</v>
      </c>
      <c r="AB48" s="7">
        <v>-0.44444444444444442</v>
      </c>
      <c r="AC48" s="7">
        <v>0.55555555555555558</v>
      </c>
      <c r="AD48" s="7">
        <v>0.55555555555555558</v>
      </c>
      <c r="AE48" s="7">
        <v>-0.44444444444444442</v>
      </c>
      <c r="AF48" s="7">
        <v>-0.44444444444444442</v>
      </c>
      <c r="AG48" s="7">
        <v>0.55555555555555558</v>
      </c>
      <c r="AH48" s="7">
        <v>-0.44444444444444442</v>
      </c>
      <c r="AI48" s="7">
        <v>0.55555555555555558</v>
      </c>
      <c r="AJ48" s="7">
        <v>0.55555555555555558</v>
      </c>
      <c r="AK48" s="7">
        <v>0.55555555555555558</v>
      </c>
      <c r="AL48" s="7">
        <v>0.55555555555555558</v>
      </c>
      <c r="AM48" s="7">
        <v>-0.44444444444444442</v>
      </c>
      <c r="AN48" s="7">
        <v>-0.44444444444444442</v>
      </c>
      <c r="AO48" s="7">
        <v>-0.44444444444444442</v>
      </c>
      <c r="AP48" s="7">
        <v>0.55555555555555558</v>
      </c>
      <c r="AQ48" s="7">
        <v>0.55555555555555558</v>
      </c>
      <c r="AR48" s="7">
        <v>-0.44444444444444442</v>
      </c>
      <c r="AS48" s="7">
        <v>0.55555555555555558</v>
      </c>
      <c r="AT48" s="7">
        <v>-0.44444444444444442</v>
      </c>
      <c r="AU48" s="7">
        <v>0.55555555555555558</v>
      </c>
      <c r="AV48" s="7">
        <v>-0.44444444444444442</v>
      </c>
    </row>
    <row r="49" spans="3:48" x14ac:dyDescent="0.2">
      <c r="C49" s="7">
        <v>0.44444444444444442</v>
      </c>
      <c r="D49" s="7">
        <v>168.77777777777777</v>
      </c>
      <c r="E49" s="7">
        <v>63.888888888888886</v>
      </c>
      <c r="F49" s="7">
        <v>38.981481481481481</v>
      </c>
      <c r="G49" s="7">
        <v>73.462962962962962</v>
      </c>
      <c r="H49" s="7">
        <v>45.851851851851848</v>
      </c>
      <c r="I49" s="7">
        <v>57.24074074074074</v>
      </c>
      <c r="J49" s="7">
        <v>43.092592592592588</v>
      </c>
      <c r="L49" s="7">
        <v>0.55555555555555558</v>
      </c>
      <c r="M49" s="7">
        <v>-4.7777777777777715</v>
      </c>
      <c r="N49" s="7">
        <v>-1.8888888888888857</v>
      </c>
      <c r="O49" s="7">
        <v>1.8518518518519045E-2</v>
      </c>
      <c r="P49" s="7">
        <v>-0.46296296296296191</v>
      </c>
      <c r="Q49" s="7">
        <v>-1.8518518518518476</v>
      </c>
      <c r="R49" s="7">
        <v>-2.2407407407407405</v>
      </c>
      <c r="S49" s="7">
        <v>0.90740740740741188</v>
      </c>
      <c r="V49" s="7">
        <v>-9.7777777777777715</v>
      </c>
      <c r="W49" s="7">
        <v>-4.7777777777777715</v>
      </c>
      <c r="X49" s="7">
        <v>3.2222222222222285</v>
      </c>
      <c r="Y49" s="7">
        <v>-1.7777777777777715</v>
      </c>
      <c r="Z49" s="7">
        <v>-4.7777777777777715</v>
      </c>
      <c r="AA49" s="7">
        <v>-7.7777777777777715</v>
      </c>
      <c r="AB49" s="7">
        <v>-0.77777777777777146</v>
      </c>
      <c r="AC49" s="7">
        <v>12.222222222222229</v>
      </c>
      <c r="AD49" s="7">
        <v>14.222222222222229</v>
      </c>
      <c r="AE49" s="7">
        <v>-10.777777777777771</v>
      </c>
      <c r="AF49" s="7">
        <v>-12.777777777777771</v>
      </c>
      <c r="AG49" s="7">
        <v>4.2222222222222285</v>
      </c>
      <c r="AH49" s="7">
        <v>-10.777777777777771</v>
      </c>
      <c r="AI49" s="7">
        <v>9.2222222222222285</v>
      </c>
      <c r="AJ49" s="7">
        <v>12.222222222222229</v>
      </c>
      <c r="AK49" s="7">
        <v>13.222222222222229</v>
      </c>
      <c r="AL49" s="7">
        <v>7.2222222222222285</v>
      </c>
      <c r="AM49" s="7">
        <v>-6.7777777777777715</v>
      </c>
      <c r="AN49" s="7">
        <v>-12.777777777777771</v>
      </c>
      <c r="AO49" s="7">
        <v>-16.777777777777771</v>
      </c>
      <c r="AP49" s="7">
        <v>12.222222222222229</v>
      </c>
      <c r="AQ49" s="7">
        <v>4.2222222222222285</v>
      </c>
      <c r="AR49" s="7">
        <v>-13.777777777777771</v>
      </c>
      <c r="AS49" s="7">
        <v>20.222222222222229</v>
      </c>
      <c r="AT49" s="7">
        <v>1.2222222222222285</v>
      </c>
      <c r="AU49" s="7">
        <v>1.2222222222222285</v>
      </c>
      <c r="AV49" s="7">
        <v>-0.77777777777777146</v>
      </c>
    </row>
    <row r="50" spans="3:48" x14ac:dyDescent="0.2">
      <c r="C50" s="7">
        <v>0.44444444444444442</v>
      </c>
      <c r="D50" s="7">
        <v>168.77777777777777</v>
      </c>
      <c r="E50" s="7">
        <v>63.888888888888886</v>
      </c>
      <c r="F50" s="7">
        <v>38.981481481481481</v>
      </c>
      <c r="G50" s="7">
        <v>73.462962962962962</v>
      </c>
      <c r="H50" s="7">
        <v>45.851851851851848</v>
      </c>
      <c r="I50" s="7">
        <v>57.24074074074074</v>
      </c>
      <c r="J50" s="7">
        <v>43.092592592592588</v>
      </c>
      <c r="L50" s="7">
        <v>-0.44444444444444442</v>
      </c>
      <c r="M50" s="7">
        <v>3.2222222222222285</v>
      </c>
      <c r="N50" s="7">
        <v>1.1111111111111143</v>
      </c>
      <c r="O50" s="7">
        <v>-0.98148148148148096</v>
      </c>
      <c r="P50" s="7">
        <v>1.5370370370370381</v>
      </c>
      <c r="Q50" s="7">
        <v>2.1481481481481524</v>
      </c>
      <c r="R50" s="7">
        <v>0.75925925925925952</v>
      </c>
      <c r="S50" s="7">
        <v>0.90740740740741188</v>
      </c>
      <c r="V50" s="7">
        <v>-14.888888888888886</v>
      </c>
      <c r="W50" s="7">
        <v>-1.8888888888888857</v>
      </c>
      <c r="X50" s="7">
        <v>1.1111111111111143</v>
      </c>
      <c r="Y50" s="7">
        <v>-11.888888888888886</v>
      </c>
      <c r="Z50" s="7">
        <v>-12.888888888888886</v>
      </c>
      <c r="AA50" s="7">
        <v>3.1111111111111143</v>
      </c>
      <c r="AB50" s="7">
        <v>-15.888888888888886</v>
      </c>
      <c r="AC50" s="7">
        <v>10.111111111111114</v>
      </c>
      <c r="AD50" s="7">
        <v>10.111111111111114</v>
      </c>
      <c r="AE50" s="7">
        <v>-13.888888888888886</v>
      </c>
      <c r="AF50" s="7">
        <v>1.1111111111111143</v>
      </c>
      <c r="AG50" s="7">
        <v>0.11111111111111427</v>
      </c>
      <c r="AH50" s="7">
        <v>-20.888888888888886</v>
      </c>
      <c r="AI50" s="7">
        <v>10.111111111111114</v>
      </c>
      <c r="AJ50" s="7">
        <v>12.111111111111114</v>
      </c>
      <c r="AK50" s="7">
        <v>27.111111111111114</v>
      </c>
      <c r="AL50" s="7">
        <v>9.1111111111111143</v>
      </c>
      <c r="AM50" s="7">
        <v>4.1111111111111143</v>
      </c>
      <c r="AN50" s="7">
        <v>-11.888888888888886</v>
      </c>
      <c r="AO50" s="7">
        <v>-18.888888888888886</v>
      </c>
      <c r="AP50" s="7">
        <v>16.111111111111114</v>
      </c>
      <c r="AQ50" s="7">
        <v>5.1111111111111143</v>
      </c>
      <c r="AR50" s="7">
        <v>-10.888888888888886</v>
      </c>
      <c r="AS50" s="7">
        <v>23.111111111111114</v>
      </c>
      <c r="AT50" s="7">
        <v>6.1111111111111143</v>
      </c>
      <c r="AU50" s="7">
        <v>3.1111111111111143</v>
      </c>
      <c r="AV50" s="7">
        <v>-7.8888888888888857</v>
      </c>
    </row>
    <row r="51" spans="3:48" x14ac:dyDescent="0.2">
      <c r="C51" s="7">
        <v>0.44444444444444442</v>
      </c>
      <c r="D51" s="7">
        <v>168.77777777777777</v>
      </c>
      <c r="E51" s="7">
        <v>63.888888888888886</v>
      </c>
      <c r="F51" s="7">
        <v>38.981481481481481</v>
      </c>
      <c r="G51" s="7">
        <v>73.462962962962962</v>
      </c>
      <c r="H51" s="7">
        <v>45.851851851851848</v>
      </c>
      <c r="I51" s="7">
        <v>57.24074074074074</v>
      </c>
      <c r="J51" s="7">
        <v>43.092592592592588</v>
      </c>
      <c r="L51" s="7">
        <v>-0.44444444444444442</v>
      </c>
      <c r="M51" s="7">
        <v>-1.7777777777777715</v>
      </c>
      <c r="N51" s="7">
        <v>-11.888888888888886</v>
      </c>
      <c r="O51" s="7">
        <v>-1.981481481481481</v>
      </c>
      <c r="P51" s="7">
        <v>-0.46296296296296191</v>
      </c>
      <c r="Q51" s="7">
        <v>-4.3518518518518476</v>
      </c>
      <c r="R51" s="7">
        <v>0.75925925925925952</v>
      </c>
      <c r="S51" s="7">
        <v>0.90740740740741188</v>
      </c>
      <c r="V51" s="7">
        <v>-2.981481481481481</v>
      </c>
      <c r="W51" s="7">
        <v>1.8518518518519045E-2</v>
      </c>
      <c r="X51" s="7">
        <v>-0.98148148148148096</v>
      </c>
      <c r="Y51" s="7">
        <v>-1.981481481481481</v>
      </c>
      <c r="Z51" s="7">
        <v>-2.981481481481481</v>
      </c>
      <c r="AA51" s="7">
        <v>-0.98148148148148096</v>
      </c>
      <c r="AB51" s="7">
        <v>1.8518518518519045E-2</v>
      </c>
      <c r="AC51" s="7">
        <v>4.018518518518519</v>
      </c>
      <c r="AD51" s="7">
        <v>2.018518518518519</v>
      </c>
      <c r="AE51" s="7">
        <v>-2.981481481481481</v>
      </c>
      <c r="AF51" s="7">
        <v>-2.981481481481481</v>
      </c>
      <c r="AG51" s="7">
        <v>1.018518518518519</v>
      </c>
      <c r="AH51" s="7">
        <v>-2.981481481481481</v>
      </c>
      <c r="AI51" s="7">
        <v>3.018518518518519</v>
      </c>
      <c r="AJ51" s="7">
        <v>4.018518518518519</v>
      </c>
      <c r="AK51" s="7">
        <v>2.018518518518519</v>
      </c>
      <c r="AL51" s="7">
        <v>3.018518518518519</v>
      </c>
      <c r="AM51" s="7">
        <v>1.8518518518519045E-2</v>
      </c>
      <c r="AN51" s="7">
        <v>-2.981481481481481</v>
      </c>
      <c r="AO51" s="7">
        <v>-4.981481481481481</v>
      </c>
      <c r="AP51" s="7">
        <v>4.018518518518519</v>
      </c>
      <c r="AQ51" s="7">
        <v>2.018518518518519</v>
      </c>
      <c r="AR51" s="7">
        <v>-2.981481481481481</v>
      </c>
      <c r="AS51" s="7">
        <v>6.018518518518519</v>
      </c>
      <c r="AT51" s="7">
        <v>-0.98148148148148096</v>
      </c>
      <c r="AU51" s="7">
        <v>1.018518518518519</v>
      </c>
      <c r="AV51" s="7">
        <v>-1.481481481481481</v>
      </c>
    </row>
    <row r="52" spans="3:48" x14ac:dyDescent="0.2">
      <c r="C52" s="7">
        <v>0.44444444444444442</v>
      </c>
      <c r="D52" s="7">
        <v>168.77777777777777</v>
      </c>
      <c r="E52" s="7">
        <v>63.888888888888886</v>
      </c>
      <c r="F52" s="7">
        <v>38.981481481481481</v>
      </c>
      <c r="G52" s="7">
        <v>73.462962962962962</v>
      </c>
      <c r="H52" s="7">
        <v>45.851851851851848</v>
      </c>
      <c r="I52" s="7">
        <v>57.24074074074074</v>
      </c>
      <c r="J52" s="7">
        <v>43.092592592592588</v>
      </c>
      <c r="L52" s="7">
        <v>-0.44444444444444442</v>
      </c>
      <c r="M52" s="7">
        <v>-4.7777777777777715</v>
      </c>
      <c r="N52" s="7">
        <v>-12.888888888888886</v>
      </c>
      <c r="O52" s="7">
        <v>-2.981481481481481</v>
      </c>
      <c r="P52" s="7">
        <v>-2.4629629629629619</v>
      </c>
      <c r="Q52" s="7">
        <v>-1.3518518518518476</v>
      </c>
      <c r="R52" s="7">
        <v>-3.2407407407407405</v>
      </c>
      <c r="S52" s="7">
        <v>-3.0925925925925881</v>
      </c>
      <c r="V52" s="7">
        <v>-5.4629629629629619</v>
      </c>
      <c r="W52" s="7">
        <v>-0.46296296296296191</v>
      </c>
      <c r="X52" s="7">
        <v>1.5370370370370381</v>
      </c>
      <c r="Y52" s="7">
        <v>-0.46296296296296191</v>
      </c>
      <c r="Z52" s="7">
        <v>-2.4629629629629619</v>
      </c>
      <c r="AA52" s="7">
        <v>-2.4629629629629619</v>
      </c>
      <c r="AB52" s="7">
        <v>-0.96296296296296191</v>
      </c>
      <c r="AC52" s="7">
        <v>0.53703703703703809</v>
      </c>
      <c r="AD52" s="7">
        <v>5.5370370370370381</v>
      </c>
      <c r="AE52" s="7">
        <v>-4.9629629629629619</v>
      </c>
      <c r="AF52" s="7">
        <v>-5.4629629629629619</v>
      </c>
      <c r="AG52" s="7">
        <v>5.5370370370370381</v>
      </c>
      <c r="AH52" s="7">
        <v>-5.4629629629629619</v>
      </c>
      <c r="AI52" s="7">
        <v>1.5370370370370381</v>
      </c>
      <c r="AJ52" s="7">
        <v>9.5370370370370381</v>
      </c>
      <c r="AK52" s="7">
        <v>9.5370370370370381</v>
      </c>
      <c r="AL52" s="7">
        <v>4.5370370370370381</v>
      </c>
      <c r="AM52" s="7">
        <v>-1.4629629629629619</v>
      </c>
      <c r="AN52" s="7">
        <v>-6.4629629629629619</v>
      </c>
      <c r="AO52" s="7">
        <v>-7.4629629629629619</v>
      </c>
      <c r="AP52" s="7">
        <v>2.5370370370370381</v>
      </c>
      <c r="AQ52" s="7">
        <v>0.53703703703703809</v>
      </c>
      <c r="AR52" s="7">
        <v>-6.4629629629629619</v>
      </c>
      <c r="AS52" s="7">
        <v>8.5370370370370381</v>
      </c>
      <c r="AT52" s="7">
        <v>-0.46296296296296191</v>
      </c>
      <c r="AU52" s="7">
        <v>3.5370370370370381</v>
      </c>
      <c r="AV52" s="7">
        <v>-2.9629629629629619</v>
      </c>
    </row>
    <row r="53" spans="3:48" x14ac:dyDescent="0.2">
      <c r="C53" s="7">
        <v>0.44444444444444442</v>
      </c>
      <c r="D53" s="7">
        <v>168.77777777777777</v>
      </c>
      <c r="E53" s="7">
        <v>63.888888888888886</v>
      </c>
      <c r="F53" s="7">
        <v>38.981481481481481</v>
      </c>
      <c r="G53" s="7">
        <v>73.462962962962962</v>
      </c>
      <c r="H53" s="7">
        <v>45.851851851851848</v>
      </c>
      <c r="I53" s="7">
        <v>57.24074074074074</v>
      </c>
      <c r="J53" s="7">
        <v>43.092592592592588</v>
      </c>
      <c r="L53" s="7">
        <v>-0.44444444444444442</v>
      </c>
      <c r="M53" s="7">
        <v>-7.7777777777777715</v>
      </c>
      <c r="N53" s="7">
        <v>3.1111111111111143</v>
      </c>
      <c r="O53" s="7">
        <v>-0.98148148148148096</v>
      </c>
      <c r="P53" s="7">
        <v>-2.4629629629629619</v>
      </c>
      <c r="Q53" s="7">
        <v>-1.8518518518518476</v>
      </c>
      <c r="R53" s="7">
        <v>-1.2407407407407405</v>
      </c>
      <c r="S53" s="7">
        <v>-1.0925925925925881</v>
      </c>
      <c r="V53" s="7">
        <v>-3.8518518518518476</v>
      </c>
      <c r="W53" s="7">
        <v>-1.8518518518518476</v>
      </c>
      <c r="X53" s="7">
        <v>2.1481481481481524</v>
      </c>
      <c r="Y53" s="7">
        <v>-4.3518518518518476</v>
      </c>
      <c r="Z53" s="7">
        <v>-1.3518518518518476</v>
      </c>
      <c r="AA53" s="7">
        <v>-1.8518518518518476</v>
      </c>
      <c r="AB53" s="7">
        <v>-4.8518518518518476</v>
      </c>
      <c r="AC53" s="7">
        <v>4.1481481481481524</v>
      </c>
      <c r="AD53" s="7">
        <v>1.6481481481481524</v>
      </c>
      <c r="AE53" s="7">
        <v>-1.8518518518518476</v>
      </c>
      <c r="AF53" s="7">
        <v>0.14814814814815236</v>
      </c>
      <c r="AG53" s="7">
        <v>2.1481481481481524</v>
      </c>
      <c r="AH53" s="7">
        <v>-2.8518518518518476</v>
      </c>
      <c r="AI53" s="7">
        <v>4.1481481481481524</v>
      </c>
      <c r="AJ53" s="7">
        <v>5.1481481481481524</v>
      </c>
      <c r="AK53" s="7">
        <v>7.1481481481481524</v>
      </c>
      <c r="AL53" s="7">
        <v>2.1481481481481524</v>
      </c>
      <c r="AM53" s="7">
        <v>-1.8518518518518476</v>
      </c>
      <c r="AN53" s="7">
        <v>-9.8518518518518476</v>
      </c>
      <c r="AO53" s="7">
        <v>-5.8518518518518476</v>
      </c>
      <c r="AP53" s="7">
        <v>3.1481481481481524</v>
      </c>
      <c r="AQ53" s="7">
        <v>2.1481481481481524</v>
      </c>
      <c r="AR53" s="7">
        <v>-2.8518518518518476</v>
      </c>
      <c r="AS53" s="7">
        <v>7.1481481481481524</v>
      </c>
      <c r="AT53" s="7">
        <v>-0.85185185185184764</v>
      </c>
      <c r="AU53" s="7">
        <v>0.64814814814815236</v>
      </c>
      <c r="AV53" s="7">
        <v>2.1481481481481524</v>
      </c>
    </row>
    <row r="54" spans="3:48" x14ac:dyDescent="0.2">
      <c r="C54" s="7">
        <v>0.44444444444444442</v>
      </c>
      <c r="D54" s="7">
        <v>168.77777777777777</v>
      </c>
      <c r="E54" s="7">
        <v>63.888888888888886</v>
      </c>
      <c r="F54" s="7">
        <v>38.981481481481481</v>
      </c>
      <c r="G54" s="7">
        <v>73.462962962962962</v>
      </c>
      <c r="H54" s="7">
        <v>45.851851851851848</v>
      </c>
      <c r="I54" s="7">
        <v>57.24074074074074</v>
      </c>
      <c r="J54" s="7">
        <v>43.092592592592588</v>
      </c>
      <c r="L54" s="7">
        <v>-0.44444444444444442</v>
      </c>
      <c r="M54" s="7">
        <v>-0.77777777777777146</v>
      </c>
      <c r="N54" s="7">
        <v>-15.888888888888886</v>
      </c>
      <c r="O54" s="7">
        <v>1.8518518518519045E-2</v>
      </c>
      <c r="P54" s="7">
        <v>-0.96296296296296191</v>
      </c>
      <c r="Q54" s="7">
        <v>-4.8518518518518476</v>
      </c>
      <c r="R54" s="7">
        <v>-2.7407407407407405</v>
      </c>
      <c r="S54" s="7">
        <v>-9.2592592592588119E-2</v>
      </c>
      <c r="V54" s="7">
        <v>-0.24074074074074048</v>
      </c>
      <c r="W54" s="7">
        <v>-2.2407407407407405</v>
      </c>
      <c r="X54" s="7">
        <v>0.75925925925925952</v>
      </c>
      <c r="Y54" s="7">
        <v>0.75925925925925952</v>
      </c>
      <c r="Z54" s="7">
        <v>-3.2407407407407405</v>
      </c>
      <c r="AA54" s="7">
        <v>-1.2407407407407405</v>
      </c>
      <c r="AB54" s="7">
        <v>-2.7407407407407405</v>
      </c>
      <c r="AC54" s="7">
        <v>2.7592592592592595</v>
      </c>
      <c r="AD54" s="7">
        <v>2.2592592592592595</v>
      </c>
      <c r="AE54" s="7">
        <v>-0.24074074074074048</v>
      </c>
      <c r="AF54" s="7">
        <v>0.75925925925925952</v>
      </c>
      <c r="AG54" s="7">
        <v>-0.74074074074074048</v>
      </c>
      <c r="AH54" s="7">
        <v>-2.2407407407407405</v>
      </c>
      <c r="AI54" s="7">
        <v>1.7592592592592595</v>
      </c>
      <c r="AJ54" s="7">
        <v>-0.24074074074074048</v>
      </c>
      <c r="AK54" s="7">
        <v>1.7592592592592595</v>
      </c>
      <c r="AL54" s="7">
        <v>0.75925925925925952</v>
      </c>
      <c r="AM54" s="7">
        <v>1.7592592592592595</v>
      </c>
      <c r="AN54" s="7">
        <v>-1.2407407407407405</v>
      </c>
      <c r="AO54" s="7">
        <v>-2.2407407407407405</v>
      </c>
      <c r="AP54" s="7">
        <v>-0.24074074074074048</v>
      </c>
      <c r="AQ54" s="7">
        <v>-1.2407407407407405</v>
      </c>
      <c r="AR54" s="7">
        <v>-1.2407407407407405</v>
      </c>
      <c r="AS54" s="7">
        <v>3.7592592592592595</v>
      </c>
      <c r="AT54" s="7">
        <v>-1.2407407407407405</v>
      </c>
      <c r="AU54" s="7">
        <v>0.75925925925925952</v>
      </c>
      <c r="AV54" s="7">
        <v>2.7592592592592595</v>
      </c>
    </row>
    <row r="55" spans="3:48" x14ac:dyDescent="0.2">
      <c r="C55" s="7">
        <v>0.44444444444444442</v>
      </c>
      <c r="D55" s="7">
        <v>168.77777777777777</v>
      </c>
      <c r="E55" s="7">
        <v>63.888888888888886</v>
      </c>
      <c r="F55" s="7">
        <v>38.981481481481481</v>
      </c>
      <c r="G55" s="7">
        <v>73.462962962962962</v>
      </c>
      <c r="H55" s="7">
        <v>45.851851851851848</v>
      </c>
      <c r="I55" s="7">
        <v>57.24074074074074</v>
      </c>
      <c r="J55" s="7">
        <v>43.092592592592588</v>
      </c>
      <c r="L55" s="7">
        <v>0.55555555555555558</v>
      </c>
      <c r="M55" s="7">
        <v>12.222222222222229</v>
      </c>
      <c r="N55" s="7">
        <v>10.111111111111114</v>
      </c>
      <c r="O55" s="7">
        <v>4.018518518518519</v>
      </c>
      <c r="P55" s="7">
        <v>0.53703703703703809</v>
      </c>
      <c r="Q55" s="7">
        <v>4.1481481481481524</v>
      </c>
      <c r="R55" s="7">
        <v>2.7592592592592595</v>
      </c>
      <c r="S55" s="7">
        <v>3.9074074074074119</v>
      </c>
      <c r="V55" s="7">
        <v>-3.0925925925925881</v>
      </c>
      <c r="W55" s="7">
        <v>0.90740740740741188</v>
      </c>
      <c r="X55" s="7">
        <v>0.90740740740741188</v>
      </c>
      <c r="Y55" s="7">
        <v>0.90740740740741188</v>
      </c>
      <c r="Z55" s="7">
        <v>-3.0925925925925881</v>
      </c>
      <c r="AA55" s="7">
        <v>-1.0925925925925881</v>
      </c>
      <c r="AB55" s="7">
        <v>-9.2592592592588119E-2</v>
      </c>
      <c r="AC55" s="7">
        <v>3.9074074074074119</v>
      </c>
      <c r="AD55" s="7">
        <v>3.9074074074074119</v>
      </c>
      <c r="AE55" s="7">
        <v>-2.0925925925925881</v>
      </c>
      <c r="AF55" s="7">
        <v>-2.0925925925925881</v>
      </c>
      <c r="AG55" s="7">
        <v>3.9074074074074119</v>
      </c>
      <c r="AH55" s="7">
        <v>-4.0925925925925881</v>
      </c>
      <c r="AI55" s="7">
        <v>1.9074074074074119</v>
      </c>
      <c r="AJ55" s="7">
        <v>-9.2592592592588119E-2</v>
      </c>
      <c r="AK55" s="7">
        <v>-9.2592592592588119E-2</v>
      </c>
      <c r="AL55" s="7">
        <v>1.9074074074074119</v>
      </c>
      <c r="AM55" s="7">
        <v>-1.0925925925925881</v>
      </c>
      <c r="AN55" s="7">
        <v>-2.0925925925925881</v>
      </c>
      <c r="AO55" s="7">
        <v>-5.0925925925925881</v>
      </c>
      <c r="AP55" s="7">
        <v>2.9074074074074119</v>
      </c>
      <c r="AQ55" s="7">
        <v>0.90740740740741188</v>
      </c>
      <c r="AR55" s="7">
        <v>-5.0925925925925881</v>
      </c>
      <c r="AS55" s="7">
        <v>8.9074074074074119</v>
      </c>
      <c r="AT55" s="7">
        <v>-9.2592592592588119E-2</v>
      </c>
      <c r="AU55" s="7">
        <v>1.4074074074074119</v>
      </c>
      <c r="AV55" s="7">
        <v>-3.0925925925925881</v>
      </c>
    </row>
    <row r="56" spans="3:48" x14ac:dyDescent="0.2">
      <c r="C56" s="7">
        <v>0.44444444444444442</v>
      </c>
      <c r="D56" s="7">
        <v>168.77777777777777</v>
      </c>
      <c r="E56" s="7">
        <v>63.888888888888886</v>
      </c>
      <c r="F56" s="7">
        <v>38.981481481481481</v>
      </c>
      <c r="G56" s="7">
        <v>73.462962962962962</v>
      </c>
      <c r="H56" s="7">
        <v>45.851851851851848</v>
      </c>
      <c r="I56" s="7">
        <v>57.24074074074074</v>
      </c>
      <c r="J56" s="7">
        <v>43.092592592592588</v>
      </c>
      <c r="L56" s="7">
        <v>0.55555555555555558</v>
      </c>
      <c r="M56" s="7">
        <v>14.222222222222229</v>
      </c>
      <c r="N56" s="7">
        <v>10.111111111111114</v>
      </c>
      <c r="O56" s="7">
        <v>2.018518518518519</v>
      </c>
      <c r="P56" s="7">
        <v>5.5370370370370381</v>
      </c>
      <c r="Q56" s="7">
        <v>1.6481481481481524</v>
      </c>
      <c r="R56" s="7">
        <v>2.2592592592592595</v>
      </c>
      <c r="S56" s="7">
        <v>3.9074074074074119</v>
      </c>
    </row>
    <row r="57" spans="3:48" x14ac:dyDescent="0.2">
      <c r="C57" s="7">
        <v>0.44444444444444442</v>
      </c>
      <c r="D57" s="7">
        <v>168.77777777777777</v>
      </c>
      <c r="E57" s="7">
        <v>63.888888888888886</v>
      </c>
      <c r="F57" s="7">
        <v>38.981481481481481</v>
      </c>
      <c r="G57" s="7">
        <v>73.462962962962962</v>
      </c>
      <c r="H57" s="7">
        <v>45.851851851851848</v>
      </c>
      <c r="I57" s="7">
        <v>57.24074074074074</v>
      </c>
      <c r="J57" s="7">
        <v>43.092592592592588</v>
      </c>
      <c r="L57" s="7">
        <v>-0.44444444444444442</v>
      </c>
      <c r="M57" s="7">
        <v>-10.777777777777771</v>
      </c>
      <c r="N57" s="7">
        <v>-13.888888888888886</v>
      </c>
      <c r="O57" s="7">
        <v>-2.981481481481481</v>
      </c>
      <c r="P57" s="7">
        <v>-4.9629629629629619</v>
      </c>
      <c r="Q57" s="7">
        <v>-1.8518518518518476</v>
      </c>
      <c r="R57" s="7">
        <v>-0.24074074074074048</v>
      </c>
      <c r="S57" s="7">
        <v>-2.0925925925925881</v>
      </c>
    </row>
    <row r="58" spans="3:48" x14ac:dyDescent="0.2">
      <c r="C58" s="7">
        <v>0.44444444444444442</v>
      </c>
      <c r="D58" s="7">
        <v>168.77777777777777</v>
      </c>
      <c r="E58" s="7">
        <v>63.888888888888886</v>
      </c>
      <c r="F58" s="7">
        <v>38.981481481481481</v>
      </c>
      <c r="G58" s="7">
        <v>73.462962962962962</v>
      </c>
      <c r="H58" s="7">
        <v>45.851851851851848</v>
      </c>
      <c r="I58" s="7">
        <v>57.24074074074074</v>
      </c>
      <c r="J58" s="7">
        <v>43.092592592592588</v>
      </c>
      <c r="L58" s="7">
        <v>-0.44444444444444442</v>
      </c>
      <c r="M58" s="7">
        <v>-12.777777777777771</v>
      </c>
      <c r="N58" s="7">
        <v>1.1111111111111143</v>
      </c>
      <c r="O58" s="7">
        <v>-2.981481481481481</v>
      </c>
      <c r="P58" s="7">
        <v>-5.4629629629629619</v>
      </c>
      <c r="Q58" s="7">
        <v>0.14814814814815236</v>
      </c>
      <c r="R58" s="7">
        <v>0.75925925925925952</v>
      </c>
      <c r="S58" s="7">
        <v>-2.0925925925925881</v>
      </c>
    </row>
    <row r="59" spans="3:48" x14ac:dyDescent="0.2">
      <c r="C59" s="7">
        <v>0.44444444444444442</v>
      </c>
      <c r="D59" s="7">
        <v>168.77777777777777</v>
      </c>
      <c r="E59" s="7">
        <v>63.888888888888886</v>
      </c>
      <c r="F59" s="7">
        <v>38.981481481481481</v>
      </c>
      <c r="G59" s="7">
        <v>73.462962962962962</v>
      </c>
      <c r="H59" s="7">
        <v>45.851851851851848</v>
      </c>
      <c r="I59" s="7">
        <v>57.24074074074074</v>
      </c>
      <c r="J59" s="7">
        <v>43.092592592592588</v>
      </c>
      <c r="L59" s="7">
        <v>0.55555555555555558</v>
      </c>
      <c r="M59" s="7">
        <v>4.2222222222222285</v>
      </c>
      <c r="N59" s="7">
        <v>0.11111111111111427</v>
      </c>
      <c r="O59" s="7">
        <v>1.018518518518519</v>
      </c>
      <c r="P59" s="7">
        <v>5.5370370370370381</v>
      </c>
      <c r="Q59" s="7">
        <v>2.1481481481481524</v>
      </c>
      <c r="R59" s="7">
        <v>-0.74074074074074048</v>
      </c>
      <c r="S59" s="7">
        <v>3.9074074074074119</v>
      </c>
      <c r="V59" s="7">
        <f t="array" ref="V59:AC66">+MMULT(_xlfn.ANCHORARRAY(V48),_xlfn.ANCHORARRAY(L48))</f>
        <v>6.666666666666667</v>
      </c>
      <c r="W59" s="7">
        <v>105.66666666666666</v>
      </c>
      <c r="X59" s="7">
        <v>124.33333333333333</v>
      </c>
      <c r="Y59" s="7">
        <v>32.222222222222214</v>
      </c>
      <c r="Z59" s="7">
        <v>51.44444444444445</v>
      </c>
      <c r="AA59" s="7">
        <v>37.777777777777779</v>
      </c>
      <c r="AB59" s="7">
        <v>9.1111111111111107</v>
      </c>
      <c r="AC59" s="7">
        <v>30.388888888888893</v>
      </c>
    </row>
    <row r="60" spans="3:48" x14ac:dyDescent="0.2">
      <c r="C60" s="7">
        <v>0.44444444444444442</v>
      </c>
      <c r="D60" s="7">
        <v>168.77777777777777</v>
      </c>
      <c r="E60" s="7">
        <v>63.888888888888886</v>
      </c>
      <c r="F60" s="7">
        <v>38.981481481481481</v>
      </c>
      <c r="G60" s="7">
        <v>73.462962962962962</v>
      </c>
      <c r="H60" s="7">
        <v>45.851851851851848</v>
      </c>
      <c r="I60" s="7">
        <v>57.24074074074074</v>
      </c>
      <c r="J60" s="7">
        <v>43.092592592592588</v>
      </c>
      <c r="L60" s="7">
        <v>-0.44444444444444442</v>
      </c>
      <c r="M60" s="7">
        <v>-10.777777777777771</v>
      </c>
      <c r="N60" s="7">
        <v>-20.888888888888886</v>
      </c>
      <c r="O60" s="7">
        <v>-2.981481481481481</v>
      </c>
      <c r="P60" s="7">
        <v>-5.4629629629629619</v>
      </c>
      <c r="Q60" s="7">
        <v>-2.8518518518518476</v>
      </c>
      <c r="R60" s="7">
        <v>-2.2407407407407405</v>
      </c>
      <c r="S60" s="7">
        <v>-4.0925925925925881</v>
      </c>
      <c r="V60" s="7">
        <v>105.66666666666666</v>
      </c>
      <c r="W60" s="7">
        <v>2702.6666666666665</v>
      </c>
      <c r="X60" s="7">
        <v>2817.333333333333</v>
      </c>
      <c r="Y60" s="7">
        <v>704.38888888888903</v>
      </c>
      <c r="Z60" s="7">
        <v>1192.2777777777781</v>
      </c>
      <c r="AA60" s="7">
        <v>895.11111111111097</v>
      </c>
      <c r="AB60" s="7">
        <v>286.94444444444446</v>
      </c>
      <c r="AC60" s="7">
        <v>706.05555555555554</v>
      </c>
    </row>
    <row r="61" spans="3:48" x14ac:dyDescent="0.2">
      <c r="C61" s="7">
        <v>0.44444444444444442</v>
      </c>
      <c r="D61" s="7">
        <v>168.77777777777777</v>
      </c>
      <c r="E61" s="7">
        <v>63.888888888888886</v>
      </c>
      <c r="F61" s="7">
        <v>38.981481481481481</v>
      </c>
      <c r="G61" s="7">
        <v>73.462962962962962</v>
      </c>
      <c r="H61" s="7">
        <v>45.851851851851848</v>
      </c>
      <c r="I61" s="7">
        <v>57.24074074074074</v>
      </c>
      <c r="J61" s="7">
        <v>43.092592592592588</v>
      </c>
      <c r="L61" s="7">
        <v>0.55555555555555558</v>
      </c>
      <c r="M61" s="7">
        <v>9.2222222222222285</v>
      </c>
      <c r="N61" s="7">
        <v>10.111111111111114</v>
      </c>
      <c r="O61" s="7">
        <v>3.018518518518519</v>
      </c>
      <c r="P61" s="7">
        <v>1.5370370370370381</v>
      </c>
      <c r="Q61" s="7">
        <v>4.1481481481481524</v>
      </c>
      <c r="R61" s="7">
        <v>1.7592592592592595</v>
      </c>
      <c r="S61" s="7">
        <v>1.9074074074074119</v>
      </c>
      <c r="V61" s="7">
        <v>124.33333333333333</v>
      </c>
      <c r="W61" s="7">
        <v>2817.333333333333</v>
      </c>
      <c r="X61" s="7">
        <v>4260.6666666666661</v>
      </c>
      <c r="Y61" s="7">
        <v>809.94444444444446</v>
      </c>
      <c r="Z61" s="7">
        <v>1353.3888888888889</v>
      </c>
      <c r="AA61" s="7">
        <v>1123.5555555555554</v>
      </c>
      <c r="AB61" s="7">
        <v>379.72222222222223</v>
      </c>
      <c r="AC61" s="7">
        <v>754.77777777777783</v>
      </c>
    </row>
    <row r="62" spans="3:48" x14ac:dyDescent="0.2">
      <c r="C62" s="7">
        <v>0.44444444444444442</v>
      </c>
      <c r="D62" s="7">
        <v>168.77777777777777</v>
      </c>
      <c r="E62" s="7">
        <v>63.888888888888886</v>
      </c>
      <c r="F62" s="7">
        <v>38.981481481481481</v>
      </c>
      <c r="G62" s="7">
        <v>73.462962962962962</v>
      </c>
      <c r="H62" s="7">
        <v>45.851851851851848</v>
      </c>
      <c r="I62" s="7">
        <v>57.24074074074074</v>
      </c>
      <c r="J62" s="7">
        <v>43.092592592592588</v>
      </c>
      <c r="L62" s="7">
        <v>0.55555555555555558</v>
      </c>
      <c r="M62" s="7">
        <v>12.222222222222229</v>
      </c>
      <c r="N62" s="7">
        <v>12.111111111111114</v>
      </c>
      <c r="O62" s="7">
        <v>4.018518518518519</v>
      </c>
      <c r="P62" s="7">
        <v>9.5370370370370381</v>
      </c>
      <c r="Q62" s="7">
        <v>5.1481481481481524</v>
      </c>
      <c r="R62" s="7">
        <v>-0.24074074074074048</v>
      </c>
      <c r="S62" s="7">
        <v>-9.2592592592588119E-2</v>
      </c>
      <c r="V62" s="7">
        <v>32.222222222222214</v>
      </c>
      <c r="W62" s="7">
        <v>704.38888888888903</v>
      </c>
      <c r="X62" s="7">
        <v>809.94444444444446</v>
      </c>
      <c r="Y62" s="7">
        <v>213.24074074074079</v>
      </c>
      <c r="Z62" s="7">
        <v>314.48148148148147</v>
      </c>
      <c r="AA62" s="7">
        <v>238.92592592592592</v>
      </c>
      <c r="AB62" s="7">
        <v>75.120370370370367</v>
      </c>
      <c r="AC62" s="7">
        <v>200.04629629629628</v>
      </c>
    </row>
    <row r="63" spans="3:48" x14ac:dyDescent="0.2">
      <c r="C63" s="7">
        <v>0.44444444444444442</v>
      </c>
      <c r="D63" s="7">
        <v>168.77777777777777</v>
      </c>
      <c r="E63" s="7">
        <v>63.888888888888886</v>
      </c>
      <c r="F63" s="7">
        <v>38.981481481481481</v>
      </c>
      <c r="G63" s="7">
        <v>73.462962962962962</v>
      </c>
      <c r="H63" s="7">
        <v>45.851851851851848</v>
      </c>
      <c r="I63" s="7">
        <v>57.24074074074074</v>
      </c>
      <c r="J63" s="7">
        <v>43.092592592592588</v>
      </c>
      <c r="L63" s="7">
        <v>0.55555555555555558</v>
      </c>
      <c r="M63" s="7">
        <v>13.222222222222229</v>
      </c>
      <c r="N63" s="7">
        <v>27.111111111111114</v>
      </c>
      <c r="O63" s="7">
        <v>2.018518518518519</v>
      </c>
      <c r="P63" s="7">
        <v>9.5370370370370381</v>
      </c>
      <c r="Q63" s="7">
        <v>7.1481481481481524</v>
      </c>
      <c r="R63" s="7">
        <v>1.7592592592592595</v>
      </c>
      <c r="S63" s="7">
        <v>-9.2592592592588119E-2</v>
      </c>
      <c r="V63" s="7">
        <v>51.44444444444445</v>
      </c>
      <c r="W63" s="7">
        <v>1192.2777777777781</v>
      </c>
      <c r="X63" s="7">
        <v>1353.3888888888889</v>
      </c>
      <c r="Y63" s="7">
        <v>314.48148148148147</v>
      </c>
      <c r="Z63" s="7">
        <v>638.96296296296282</v>
      </c>
      <c r="AA63" s="7">
        <v>415.35185185185196</v>
      </c>
      <c r="AB63" s="7">
        <v>112.74074074074073</v>
      </c>
      <c r="AC63" s="7">
        <v>311.34259259259255</v>
      </c>
    </row>
    <row r="64" spans="3:48" x14ac:dyDescent="0.2">
      <c r="C64" s="7">
        <v>0.44444444444444442</v>
      </c>
      <c r="D64" s="7">
        <v>168.77777777777777</v>
      </c>
      <c r="E64" s="7">
        <v>63.888888888888886</v>
      </c>
      <c r="F64" s="7">
        <v>38.981481481481481</v>
      </c>
      <c r="G64" s="7">
        <v>73.462962962962962</v>
      </c>
      <c r="H64" s="7">
        <v>45.851851851851848</v>
      </c>
      <c r="I64" s="7">
        <v>57.24074074074074</v>
      </c>
      <c r="J64" s="7">
        <v>43.092592592592588</v>
      </c>
      <c r="L64" s="7">
        <v>0.55555555555555558</v>
      </c>
      <c r="M64" s="7">
        <v>7.2222222222222285</v>
      </c>
      <c r="N64" s="7">
        <v>9.1111111111111143</v>
      </c>
      <c r="O64" s="7">
        <v>3.018518518518519</v>
      </c>
      <c r="P64" s="7">
        <v>4.5370370370370381</v>
      </c>
      <c r="Q64" s="7">
        <v>2.1481481481481524</v>
      </c>
      <c r="R64" s="7">
        <v>0.75925925925925952</v>
      </c>
      <c r="S64" s="7">
        <v>1.9074074074074119</v>
      </c>
      <c r="V64" s="7">
        <v>37.777777777777779</v>
      </c>
      <c r="W64" s="7">
        <v>895.11111111111097</v>
      </c>
      <c r="X64" s="7">
        <v>1123.5555555555554</v>
      </c>
      <c r="Y64" s="7">
        <v>238.92592592592592</v>
      </c>
      <c r="Z64" s="7">
        <v>415.35185185185196</v>
      </c>
      <c r="AA64" s="7">
        <v>420.40740740740733</v>
      </c>
      <c r="AB64" s="7">
        <v>120.71296296296299</v>
      </c>
      <c r="AC64" s="7">
        <v>208.12037037037035</v>
      </c>
    </row>
    <row r="65" spans="3:29" x14ac:dyDescent="0.2">
      <c r="C65" s="7">
        <v>0.44444444444444442</v>
      </c>
      <c r="D65" s="7">
        <v>168.77777777777777</v>
      </c>
      <c r="E65" s="7">
        <v>63.888888888888886</v>
      </c>
      <c r="F65" s="7">
        <v>38.981481481481481</v>
      </c>
      <c r="G65" s="7">
        <v>73.462962962962962</v>
      </c>
      <c r="H65" s="7">
        <v>45.851851851851848</v>
      </c>
      <c r="I65" s="7">
        <v>57.24074074074074</v>
      </c>
      <c r="J65" s="7">
        <v>43.092592592592588</v>
      </c>
      <c r="L65" s="7">
        <v>-0.44444444444444442</v>
      </c>
      <c r="M65" s="7">
        <v>-6.7777777777777715</v>
      </c>
      <c r="N65" s="7">
        <v>4.1111111111111143</v>
      </c>
      <c r="O65" s="7">
        <v>1.8518518518519045E-2</v>
      </c>
      <c r="P65" s="7">
        <v>-1.4629629629629619</v>
      </c>
      <c r="Q65" s="7">
        <v>-1.8518518518518476</v>
      </c>
      <c r="R65" s="7">
        <v>1.7592592592592595</v>
      </c>
      <c r="S65" s="7">
        <v>-1.0925925925925881</v>
      </c>
      <c r="V65" s="7">
        <v>9.1111111111111107</v>
      </c>
      <c r="W65" s="7">
        <v>286.94444444444446</v>
      </c>
      <c r="X65" s="7">
        <v>379.72222222222223</v>
      </c>
      <c r="Y65" s="7">
        <v>75.120370370370367</v>
      </c>
      <c r="Z65" s="7">
        <v>112.74074074074073</v>
      </c>
      <c r="AA65" s="7">
        <v>120.71296296296299</v>
      </c>
      <c r="AB65" s="7">
        <v>88.185185185185134</v>
      </c>
      <c r="AC65" s="7">
        <v>83.89814814814811</v>
      </c>
    </row>
    <row r="66" spans="3:29" x14ac:dyDescent="0.2">
      <c r="C66" s="7">
        <v>0.44444444444444442</v>
      </c>
      <c r="D66" s="7">
        <v>168.77777777777777</v>
      </c>
      <c r="E66" s="7">
        <v>63.888888888888886</v>
      </c>
      <c r="F66" s="7">
        <v>38.981481481481481</v>
      </c>
      <c r="G66" s="7">
        <v>73.462962962962962</v>
      </c>
      <c r="H66" s="7">
        <v>45.851851851851848</v>
      </c>
      <c r="I66" s="7">
        <v>57.24074074074074</v>
      </c>
      <c r="J66" s="7">
        <v>43.092592592592588</v>
      </c>
      <c r="L66" s="7">
        <v>-0.44444444444444442</v>
      </c>
      <c r="M66" s="7">
        <v>-12.777777777777771</v>
      </c>
      <c r="N66" s="7">
        <v>-11.888888888888886</v>
      </c>
      <c r="O66" s="7">
        <v>-2.981481481481481</v>
      </c>
      <c r="P66" s="7">
        <v>-6.4629629629629619</v>
      </c>
      <c r="Q66" s="7">
        <v>-9.8518518518518476</v>
      </c>
      <c r="R66" s="7">
        <v>-1.2407407407407405</v>
      </c>
      <c r="S66" s="7">
        <v>-2.0925925925925881</v>
      </c>
      <c r="V66" s="7">
        <v>30.388888888888893</v>
      </c>
      <c r="W66" s="7">
        <v>706.05555555555554</v>
      </c>
      <c r="X66" s="7">
        <v>754.77777777777783</v>
      </c>
      <c r="Y66" s="7">
        <v>200.04629629629628</v>
      </c>
      <c r="Z66" s="7">
        <v>311.34259259259255</v>
      </c>
      <c r="AA66" s="7">
        <v>208.12037037037035</v>
      </c>
      <c r="AB66" s="7">
        <v>83.89814814814811</v>
      </c>
      <c r="AC66" s="7">
        <v>259.01851851851848</v>
      </c>
    </row>
    <row r="67" spans="3:29" x14ac:dyDescent="0.2">
      <c r="C67" s="7">
        <v>0.44444444444444442</v>
      </c>
      <c r="D67" s="7">
        <v>168.77777777777777</v>
      </c>
      <c r="E67" s="7">
        <v>63.888888888888886</v>
      </c>
      <c r="F67" s="7">
        <v>38.981481481481481</v>
      </c>
      <c r="G67" s="7">
        <v>73.462962962962962</v>
      </c>
      <c r="H67" s="7">
        <v>45.851851851851848</v>
      </c>
      <c r="I67" s="7">
        <v>57.24074074074074</v>
      </c>
      <c r="J67" s="7">
        <v>43.092592592592588</v>
      </c>
      <c r="L67" s="7">
        <v>-0.44444444444444442</v>
      </c>
      <c r="M67" s="7">
        <v>-16.777777777777771</v>
      </c>
      <c r="N67" s="7">
        <v>-18.888888888888886</v>
      </c>
      <c r="O67" s="7">
        <v>-4.981481481481481</v>
      </c>
      <c r="P67" s="7">
        <v>-7.4629629629629619</v>
      </c>
      <c r="Q67" s="7">
        <v>-5.8518518518518476</v>
      </c>
      <c r="R67" s="7">
        <v>-2.2407407407407405</v>
      </c>
      <c r="S67" s="7">
        <v>-5.0925925925925881</v>
      </c>
    </row>
    <row r="68" spans="3:29" x14ac:dyDescent="0.2">
      <c r="C68" s="7">
        <v>0.44444444444444442</v>
      </c>
      <c r="D68" s="7">
        <v>168.77777777777777</v>
      </c>
      <c r="E68" s="7">
        <v>63.888888888888886</v>
      </c>
      <c r="F68" s="7">
        <v>38.981481481481481</v>
      </c>
      <c r="G68" s="7">
        <v>73.462962962962962</v>
      </c>
      <c r="H68" s="7">
        <v>45.851851851851848</v>
      </c>
      <c r="I68" s="7">
        <v>57.24074074074074</v>
      </c>
      <c r="J68" s="7">
        <v>43.092592592592588</v>
      </c>
      <c r="L68" s="7">
        <v>0.55555555555555558</v>
      </c>
      <c r="M68" s="7">
        <v>12.222222222222229</v>
      </c>
      <c r="N68" s="7">
        <v>16.111111111111114</v>
      </c>
      <c r="O68" s="7">
        <v>4.018518518518519</v>
      </c>
      <c r="P68" s="7">
        <v>2.5370370370370381</v>
      </c>
      <c r="Q68" s="7">
        <v>3.1481481481481524</v>
      </c>
      <c r="R68" s="7">
        <v>-0.24074074074074048</v>
      </c>
      <c r="S68" s="7">
        <v>2.9074074074074119</v>
      </c>
      <c r="V68" s="11">
        <f t="array" ref="V68:AC75">+D78*_xlfn.ANCHORARRAY(V59)</f>
        <v>0.25641025641025644</v>
      </c>
      <c r="W68" s="11">
        <v>4.0641025641025639</v>
      </c>
      <c r="X68" s="11">
        <v>4.7820512820512819</v>
      </c>
      <c r="Y68" s="11">
        <v>1.2393162393162391</v>
      </c>
      <c r="Z68" s="11">
        <v>1.9786324786324789</v>
      </c>
      <c r="AA68" s="11">
        <v>1.4529914529914532</v>
      </c>
      <c r="AB68" s="11">
        <v>0.35042735042735046</v>
      </c>
      <c r="AC68" s="11">
        <v>1.1688034188034191</v>
      </c>
    </row>
    <row r="69" spans="3:29" x14ac:dyDescent="0.2">
      <c r="C69" s="7">
        <v>0.44444444444444442</v>
      </c>
      <c r="D69" s="7">
        <v>168.77777777777777</v>
      </c>
      <c r="E69" s="7">
        <v>63.888888888888886</v>
      </c>
      <c r="F69" s="7">
        <v>38.981481481481481</v>
      </c>
      <c r="G69" s="7">
        <v>73.462962962962962</v>
      </c>
      <c r="H69" s="7">
        <v>45.851851851851848</v>
      </c>
      <c r="I69" s="7">
        <v>57.24074074074074</v>
      </c>
      <c r="J69" s="7">
        <v>43.092592592592588</v>
      </c>
      <c r="L69" s="7">
        <v>0.55555555555555558</v>
      </c>
      <c r="M69" s="7">
        <v>4.2222222222222285</v>
      </c>
      <c r="N69" s="7">
        <v>5.1111111111111143</v>
      </c>
      <c r="O69" s="7">
        <v>2.018518518518519</v>
      </c>
      <c r="P69" s="7">
        <v>0.53703703703703809</v>
      </c>
      <c r="Q69" s="7">
        <v>2.1481481481481524</v>
      </c>
      <c r="R69" s="7">
        <v>-1.2407407407407405</v>
      </c>
      <c r="S69" s="7">
        <v>0.90740740740741188</v>
      </c>
      <c r="V69" s="11">
        <v>4.0641025641025639</v>
      </c>
      <c r="W69" s="11">
        <v>103.94871794871794</v>
      </c>
      <c r="X69" s="11">
        <v>108.35897435897435</v>
      </c>
      <c r="Y69" s="11">
        <v>27.091880341880348</v>
      </c>
      <c r="Z69" s="11">
        <v>45.856837606837622</v>
      </c>
      <c r="AA69" s="11">
        <v>34.427350427350426</v>
      </c>
      <c r="AB69" s="11">
        <v>11.036324786324787</v>
      </c>
      <c r="AC69" s="11">
        <v>27.155982905982906</v>
      </c>
    </row>
    <row r="70" spans="3:29" x14ac:dyDescent="0.2">
      <c r="C70" s="7">
        <v>0.44444444444444442</v>
      </c>
      <c r="D70" s="7">
        <v>168.77777777777777</v>
      </c>
      <c r="E70" s="7">
        <v>63.888888888888886</v>
      </c>
      <c r="F70" s="7">
        <v>38.981481481481481</v>
      </c>
      <c r="G70" s="7">
        <v>73.462962962962962</v>
      </c>
      <c r="H70" s="7">
        <v>45.851851851851848</v>
      </c>
      <c r="I70" s="7">
        <v>57.24074074074074</v>
      </c>
      <c r="J70" s="7">
        <v>43.092592592592588</v>
      </c>
      <c r="L70" s="7">
        <v>-0.44444444444444442</v>
      </c>
      <c r="M70" s="7">
        <v>-13.777777777777771</v>
      </c>
      <c r="N70" s="7">
        <v>-10.888888888888886</v>
      </c>
      <c r="O70" s="7">
        <v>-2.981481481481481</v>
      </c>
      <c r="P70" s="7">
        <v>-6.4629629629629619</v>
      </c>
      <c r="Q70" s="7">
        <v>-2.8518518518518476</v>
      </c>
      <c r="R70" s="7">
        <v>-1.2407407407407405</v>
      </c>
      <c r="S70" s="7">
        <v>-5.0925925925925881</v>
      </c>
      <c r="V70" s="11">
        <v>4.7820512820512819</v>
      </c>
      <c r="W70" s="11">
        <v>108.35897435897435</v>
      </c>
      <c r="X70" s="11">
        <v>163.87179487179486</v>
      </c>
      <c r="Y70" s="11">
        <v>31.151709401709404</v>
      </c>
      <c r="Z70" s="11">
        <v>52.053418803418808</v>
      </c>
      <c r="AA70" s="11">
        <v>43.213675213675209</v>
      </c>
      <c r="AB70" s="11">
        <v>14.604700854700855</v>
      </c>
      <c r="AC70" s="11">
        <v>29.029914529914535</v>
      </c>
    </row>
    <row r="71" spans="3:29" x14ac:dyDescent="0.2">
      <c r="C71" s="7">
        <v>0.44444444444444442</v>
      </c>
      <c r="D71" s="7">
        <v>168.77777777777777</v>
      </c>
      <c r="E71" s="7">
        <v>63.888888888888886</v>
      </c>
      <c r="F71" s="7">
        <v>38.981481481481481</v>
      </c>
      <c r="G71" s="7">
        <v>73.462962962962962</v>
      </c>
      <c r="H71" s="7">
        <v>45.851851851851848</v>
      </c>
      <c r="I71" s="7">
        <v>57.24074074074074</v>
      </c>
      <c r="J71" s="7">
        <v>43.092592592592588</v>
      </c>
      <c r="L71" s="7">
        <v>0.55555555555555558</v>
      </c>
      <c r="M71" s="7">
        <v>20.222222222222229</v>
      </c>
      <c r="N71" s="7">
        <v>23.111111111111114</v>
      </c>
      <c r="O71" s="7">
        <v>6.018518518518519</v>
      </c>
      <c r="P71" s="7">
        <v>8.5370370370370381</v>
      </c>
      <c r="Q71" s="7">
        <v>7.1481481481481524</v>
      </c>
      <c r="R71" s="7">
        <v>3.7592592592592595</v>
      </c>
      <c r="S71" s="7">
        <v>8.9074074074074119</v>
      </c>
      <c r="V71" s="11">
        <v>1.2393162393162391</v>
      </c>
      <c r="W71" s="11">
        <v>27.091880341880348</v>
      </c>
      <c r="X71" s="11">
        <v>31.151709401709404</v>
      </c>
      <c r="Y71" s="11">
        <v>8.2015669515669547</v>
      </c>
      <c r="Z71" s="11">
        <v>12.095441595441596</v>
      </c>
      <c r="AA71" s="11">
        <v>9.1894586894586894</v>
      </c>
      <c r="AB71" s="11">
        <v>2.8892450142450143</v>
      </c>
      <c r="AC71" s="11">
        <v>7.6940883190883191</v>
      </c>
    </row>
    <row r="72" spans="3:29" x14ac:dyDescent="0.2">
      <c r="C72" s="7">
        <v>0.44444444444444442</v>
      </c>
      <c r="D72" s="7">
        <v>168.77777777777777</v>
      </c>
      <c r="E72" s="7">
        <v>63.888888888888886</v>
      </c>
      <c r="F72" s="7">
        <v>38.981481481481481</v>
      </c>
      <c r="G72" s="7">
        <v>73.462962962962962</v>
      </c>
      <c r="H72" s="7">
        <v>45.851851851851848</v>
      </c>
      <c r="I72" s="7">
        <v>57.24074074074074</v>
      </c>
      <c r="J72" s="7">
        <v>43.092592592592588</v>
      </c>
      <c r="L72" s="7">
        <v>-0.44444444444444442</v>
      </c>
      <c r="M72" s="7">
        <v>1.2222222222222285</v>
      </c>
      <c r="N72" s="7">
        <v>6.1111111111111143</v>
      </c>
      <c r="O72" s="7">
        <v>-0.98148148148148096</v>
      </c>
      <c r="P72" s="7">
        <v>-0.46296296296296191</v>
      </c>
      <c r="Q72" s="7">
        <v>-0.85185185185184764</v>
      </c>
      <c r="R72" s="7">
        <v>-1.2407407407407405</v>
      </c>
      <c r="S72" s="7">
        <v>-9.2592592592588119E-2</v>
      </c>
      <c r="V72" s="11">
        <v>1.9786324786324789</v>
      </c>
      <c r="W72" s="11">
        <v>45.856837606837622</v>
      </c>
      <c r="X72" s="11">
        <v>52.053418803418808</v>
      </c>
      <c r="Y72" s="11">
        <v>12.095441595441596</v>
      </c>
      <c r="Z72" s="11">
        <v>24.575498575498571</v>
      </c>
      <c r="AA72" s="11">
        <v>15.975071225071231</v>
      </c>
      <c r="AB72" s="11">
        <v>4.3361823361823362</v>
      </c>
      <c r="AC72" s="11">
        <v>11.974715099715098</v>
      </c>
    </row>
    <row r="73" spans="3:29" x14ac:dyDescent="0.2">
      <c r="C73" s="7">
        <v>0.44444444444444442</v>
      </c>
      <c r="D73" s="7">
        <v>168.77777777777777</v>
      </c>
      <c r="E73" s="7">
        <v>63.888888888888886</v>
      </c>
      <c r="F73" s="7">
        <v>38.981481481481481</v>
      </c>
      <c r="G73" s="7">
        <v>73.462962962962962</v>
      </c>
      <c r="H73" s="7">
        <v>45.851851851851848</v>
      </c>
      <c r="I73" s="7">
        <v>57.24074074074074</v>
      </c>
      <c r="J73" s="7">
        <v>43.092592592592588</v>
      </c>
      <c r="L73" s="7">
        <v>0.55555555555555558</v>
      </c>
      <c r="M73" s="7">
        <v>1.2222222222222285</v>
      </c>
      <c r="N73" s="7">
        <v>3.1111111111111143</v>
      </c>
      <c r="O73" s="7">
        <v>1.018518518518519</v>
      </c>
      <c r="P73" s="7">
        <v>3.5370370370370381</v>
      </c>
      <c r="Q73" s="7">
        <v>0.64814814814815236</v>
      </c>
      <c r="R73" s="7">
        <v>0.75925925925925952</v>
      </c>
      <c r="S73" s="7">
        <v>1.4074074074074119</v>
      </c>
      <c r="V73" s="11">
        <v>1.4529914529914532</v>
      </c>
      <c r="W73" s="11">
        <v>34.427350427350426</v>
      </c>
      <c r="X73" s="11">
        <v>43.213675213675209</v>
      </c>
      <c r="Y73" s="11">
        <v>9.1894586894586894</v>
      </c>
      <c r="Z73" s="11">
        <v>15.975071225071231</v>
      </c>
      <c r="AA73" s="11">
        <v>16.169515669515668</v>
      </c>
      <c r="AB73" s="11">
        <v>4.6428062678062689</v>
      </c>
      <c r="AC73" s="11">
        <v>8.0046296296296298</v>
      </c>
    </row>
    <row r="74" spans="3:29" x14ac:dyDescent="0.2">
      <c r="C74" s="7">
        <v>0.44444444444444442</v>
      </c>
      <c r="D74" s="7">
        <v>168.77777777777777</v>
      </c>
      <c r="E74" s="7">
        <v>63.888888888888886</v>
      </c>
      <c r="F74" s="7">
        <v>38.981481481481481</v>
      </c>
      <c r="G74" s="7">
        <v>73.462962962962962</v>
      </c>
      <c r="H74" s="7">
        <v>45.851851851851848</v>
      </c>
      <c r="I74" s="7">
        <v>57.24074074074074</v>
      </c>
      <c r="J74" s="7">
        <v>43.092592592592588</v>
      </c>
      <c r="L74" s="7">
        <v>-0.44444444444444442</v>
      </c>
      <c r="M74" s="7">
        <v>-0.77777777777777146</v>
      </c>
      <c r="N74" s="7">
        <v>-7.8888888888888857</v>
      </c>
      <c r="O74" s="7">
        <v>-1.481481481481481</v>
      </c>
      <c r="P74" s="7">
        <v>-2.9629629629629619</v>
      </c>
      <c r="Q74" s="7">
        <v>2.1481481481481524</v>
      </c>
      <c r="R74" s="7">
        <v>2.7592592592592595</v>
      </c>
      <c r="S74" s="7">
        <v>-3.0925925925925881</v>
      </c>
      <c r="V74" s="11">
        <v>0.35042735042735046</v>
      </c>
      <c r="W74" s="11">
        <v>11.036324786324787</v>
      </c>
      <c r="X74" s="11">
        <v>14.604700854700855</v>
      </c>
      <c r="Y74" s="11">
        <v>2.8892450142450143</v>
      </c>
      <c r="Z74" s="11">
        <v>4.3361823361823362</v>
      </c>
      <c r="AA74" s="11">
        <v>4.6428062678062689</v>
      </c>
      <c r="AB74" s="11">
        <v>3.3917378917378898</v>
      </c>
      <c r="AC74" s="11">
        <v>3.2268518518518507</v>
      </c>
    </row>
    <row r="75" spans="3:29" x14ac:dyDescent="0.2">
      <c r="V75" s="11">
        <v>1.1688034188034191</v>
      </c>
      <c r="W75" s="11">
        <v>27.155982905982906</v>
      </c>
      <c r="X75" s="11">
        <v>29.029914529914535</v>
      </c>
      <c r="Y75" s="11">
        <v>7.6940883190883191</v>
      </c>
      <c r="Z75" s="11">
        <v>11.974715099715098</v>
      </c>
      <c r="AA75" s="11">
        <v>8.0046296296296298</v>
      </c>
      <c r="AB75" s="11">
        <v>3.2268518518518507</v>
      </c>
      <c r="AC75" s="11">
        <v>9.9622507122507109</v>
      </c>
    </row>
    <row r="78" spans="3:29" x14ac:dyDescent="0.2">
      <c r="C78" s="2"/>
      <c r="D78" s="7">
        <f>1/26</f>
        <v>3.8461538461538464E-2</v>
      </c>
      <c r="L78" s="7">
        <f>1/SQRT(V68)</f>
        <v>1.9748417658131499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V78" s="7">
        <f>+(V68)^(1/2)</f>
        <v>0.50636968354183332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</row>
    <row r="79" spans="3:29" x14ac:dyDescent="0.2">
      <c r="L79" s="7">
        <v>0</v>
      </c>
      <c r="M79" s="7">
        <f>1/SQRT(W69)</f>
        <v>9.8082252565777212E-2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1"/>
      <c r="V79" s="7">
        <v>0</v>
      </c>
      <c r="W79" s="7">
        <f>+(W69)^(1/2)</f>
        <v>10.195524407734894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</row>
    <row r="80" spans="3:29" x14ac:dyDescent="0.2">
      <c r="L80" s="7">
        <v>0</v>
      </c>
      <c r="M80" s="7">
        <v>0</v>
      </c>
      <c r="N80" s="7">
        <f>1/SQRT(X70)</f>
        <v>7.8117420614970526E-2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1"/>
      <c r="V80" s="7">
        <v>0</v>
      </c>
      <c r="W80" s="7">
        <v>0</v>
      </c>
      <c r="X80" s="7">
        <f>+(X70)^(1/2)</f>
        <v>12.801241926930171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</row>
    <row r="81" spans="12:29" x14ac:dyDescent="0.2">
      <c r="L81" s="7">
        <v>0</v>
      </c>
      <c r="M81" s="7">
        <v>0</v>
      </c>
      <c r="N81" s="7">
        <v>0</v>
      </c>
      <c r="O81" s="7">
        <f>1/SQRT(Y71)</f>
        <v>0.349181786615814</v>
      </c>
      <c r="P81" s="7">
        <v>0</v>
      </c>
      <c r="Q81" s="7">
        <v>0</v>
      </c>
      <c r="R81" s="7">
        <v>0</v>
      </c>
      <c r="S81" s="7">
        <v>0</v>
      </c>
      <c r="T81" s="1"/>
      <c r="V81" s="7">
        <v>0</v>
      </c>
      <c r="W81" s="7">
        <v>0</v>
      </c>
      <c r="X81" s="7">
        <v>0</v>
      </c>
      <c r="Y81" s="7">
        <f>+(Y71)^(1/2)</f>
        <v>2.8638378011973642</v>
      </c>
      <c r="Z81" s="7">
        <v>0</v>
      </c>
      <c r="AA81" s="7">
        <v>0</v>
      </c>
      <c r="AB81" s="7">
        <v>0</v>
      </c>
      <c r="AC81" s="7">
        <v>0</v>
      </c>
    </row>
    <row r="82" spans="12:29" x14ac:dyDescent="0.2">
      <c r="L82" s="7">
        <v>0</v>
      </c>
      <c r="M82" s="7">
        <v>0</v>
      </c>
      <c r="N82" s="7">
        <v>0</v>
      </c>
      <c r="O82" s="7">
        <v>0</v>
      </c>
      <c r="P82" s="7">
        <f>1/SQRT(Z72)</f>
        <v>0.20171994047297159</v>
      </c>
      <c r="Q82" s="7">
        <v>0</v>
      </c>
      <c r="R82" s="7">
        <v>0</v>
      </c>
      <c r="S82" s="7">
        <v>0</v>
      </c>
      <c r="T82" s="1"/>
      <c r="V82" s="7">
        <v>0</v>
      </c>
      <c r="W82" s="7">
        <v>0</v>
      </c>
      <c r="X82" s="7">
        <v>0</v>
      </c>
      <c r="Y82" s="7">
        <v>0</v>
      </c>
      <c r="Z82" s="7">
        <f>+(Z72)^(1/2)</f>
        <v>4.9573681097431699</v>
      </c>
      <c r="AA82" s="7">
        <v>0</v>
      </c>
      <c r="AB82" s="7">
        <v>0</v>
      </c>
      <c r="AC82" s="7">
        <v>0</v>
      </c>
    </row>
    <row r="83" spans="12:29" x14ac:dyDescent="0.2"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f>1/SQRT(AA73)</f>
        <v>0.24868609005286363</v>
      </c>
      <c r="R83" s="7">
        <v>0</v>
      </c>
      <c r="S83" s="7">
        <v>0</v>
      </c>
      <c r="T83" s="1"/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f>+(AA73)^(1/2)</f>
        <v>4.0211336299003628</v>
      </c>
      <c r="AB83" s="7">
        <v>0</v>
      </c>
      <c r="AC83" s="7">
        <v>0</v>
      </c>
    </row>
    <row r="84" spans="12:29" x14ac:dyDescent="0.2"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f>1/SQRT(AB74)</f>
        <v>0.54298628280826189</v>
      </c>
      <c r="S84" s="7">
        <v>0</v>
      </c>
      <c r="T84" s="1"/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f>+(AB74)^(1/2)</f>
        <v>1.841667150094688</v>
      </c>
      <c r="AC84" s="7">
        <v>0</v>
      </c>
    </row>
    <row r="85" spans="12:29" x14ac:dyDescent="0.2"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f>1/SQRT(AC75)</f>
        <v>0.31682632984950659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f>+(AC75)^(1/2)</f>
        <v>3.1563033302030257</v>
      </c>
    </row>
    <row r="89" spans="12:29" x14ac:dyDescent="0.2">
      <c r="L89" s="7">
        <f t="array" ref="L89:S96">MMULT(L78:S85,_xlfn.ANCHORARRAY(V68))</f>
        <v>0.50636968354183332</v>
      </c>
      <c r="M89" s="7">
        <v>8.0259594841380579</v>
      </c>
      <c r="N89" s="7">
        <v>9.4437945980551916</v>
      </c>
      <c r="O89" s="7">
        <v>2.447453470452194</v>
      </c>
      <c r="P89" s="7">
        <v>3.9074860579978141</v>
      </c>
      <c r="Q89" s="7">
        <v>2.8694282067370556</v>
      </c>
      <c r="R89" s="7">
        <v>0.69203856750717219</v>
      </c>
      <c r="S89" s="7">
        <v>2.3082018074781905</v>
      </c>
    </row>
    <row r="90" spans="12:29" x14ac:dyDescent="0.2">
      <c r="L90" s="7">
        <v>0.39861633414553044</v>
      </c>
      <c r="M90" s="7">
        <v>10.195524407734892</v>
      </c>
      <c r="N90" s="7">
        <v>10.628092290845499</v>
      </c>
      <c r="O90" s="7">
        <v>2.657232650174123</v>
      </c>
      <c r="P90" s="7">
        <v>4.4977419280216786</v>
      </c>
      <c r="Q90" s="7">
        <v>3.3767120797859023</v>
      </c>
      <c r="R90" s="7">
        <v>1.0824675950902549</v>
      </c>
      <c r="S90" s="7">
        <v>2.6635199740565438</v>
      </c>
    </row>
    <row r="91" spans="12:29" x14ac:dyDescent="0.2">
      <c r="L91" s="7">
        <v>0.37356151140235905</v>
      </c>
      <c r="M91" s="7">
        <v>8.4647235774068061</v>
      </c>
      <c r="N91" s="7">
        <v>12.801241926930169</v>
      </c>
      <c r="O91" s="7">
        <v>2.4334911862086654</v>
      </c>
      <c r="P91" s="7">
        <v>4.0662788111138823</v>
      </c>
      <c r="Q91" s="7">
        <v>3.3757408429853926</v>
      </c>
      <c r="R91" s="7">
        <v>1.1408815596224862</v>
      </c>
      <c r="S91" s="7">
        <v>2.267742043749978</v>
      </c>
    </row>
    <row r="92" spans="12:29" x14ac:dyDescent="0.2">
      <c r="L92" s="7">
        <v>0.43274665862643608</v>
      </c>
      <c r="M92" s="7">
        <v>9.45999118055963</v>
      </c>
      <c r="N92" s="7">
        <v>10.877609545025541</v>
      </c>
      <c r="O92" s="7">
        <v>2.8638378011973646</v>
      </c>
      <c r="P92" s="7">
        <v>4.2235079062035279</v>
      </c>
      <c r="Q92" s="7">
        <v>3.208791603217402</v>
      </c>
      <c r="R92" s="7">
        <v>1.0088717360449071</v>
      </c>
      <c r="S92" s="7">
        <v>2.6866355056391247</v>
      </c>
    </row>
    <row r="93" spans="12:29" x14ac:dyDescent="0.2">
      <c r="L93" s="7">
        <v>0.39912962580763189</v>
      </c>
      <c r="M93" s="7">
        <v>9.2502385523300106</v>
      </c>
      <c r="N93" s="7">
        <v>10.500212542440302</v>
      </c>
      <c r="O93" s="7">
        <v>2.4398917586267834</v>
      </c>
      <c r="P93" s="7">
        <v>4.9573681097431699</v>
      </c>
      <c r="Q93" s="7">
        <v>3.2224904165728501</v>
      </c>
      <c r="R93" s="7">
        <v>0.8746944427346518</v>
      </c>
      <c r="S93" s="7">
        <v>2.4155388170953236</v>
      </c>
    </row>
    <row r="94" spans="12:29" x14ac:dyDescent="0.2">
      <c r="L94" s="7">
        <v>0.36133876332467368</v>
      </c>
      <c r="M94" s="7">
        <v>8.5616031686575607</v>
      </c>
      <c r="N94" s="7">
        <v>10.746639925703233</v>
      </c>
      <c r="O94" s="7">
        <v>2.285290551183794</v>
      </c>
      <c r="P94" s="7">
        <v>3.9727780012789746</v>
      </c>
      <c r="Q94" s="7">
        <v>4.0211336299003628</v>
      </c>
      <c r="R94" s="7">
        <v>1.1546013376136695</v>
      </c>
      <c r="S94" s="7">
        <v>1.9906400449138946</v>
      </c>
    </row>
    <row r="95" spans="12:29" x14ac:dyDescent="0.2">
      <c r="L95" s="7">
        <v>0.1902772444028952</v>
      </c>
      <c r="M95" s="7">
        <v>5.9925729715911817</v>
      </c>
      <c r="N95" s="7">
        <v>7.9301522286206625</v>
      </c>
      <c r="O95" s="7">
        <v>1.5688204104072041</v>
      </c>
      <c r="P95" s="7">
        <v>2.3544875283024918</v>
      </c>
      <c r="Q95" s="7">
        <v>2.5209801171550255</v>
      </c>
      <c r="R95" s="7">
        <v>1.8416671500946877</v>
      </c>
      <c r="S95" s="7">
        <v>1.7521362922099926</v>
      </c>
    </row>
    <row r="96" spans="12:29" x14ac:dyDescent="0.2">
      <c r="L96" s="7">
        <v>0.37030769749504305</v>
      </c>
      <c r="M96" s="7">
        <v>8.6037303975585022</v>
      </c>
      <c r="N96" s="7">
        <v>9.1974412763576865</v>
      </c>
      <c r="O96" s="7">
        <v>2.4376897636747117</v>
      </c>
      <c r="P96" s="7">
        <v>3.793905036036203</v>
      </c>
      <c r="Q96" s="7">
        <v>2.5360774273601709</v>
      </c>
      <c r="R96" s="7">
        <v>1.0223516291903056</v>
      </c>
      <c r="S96" s="7">
        <v>3.1563033302030257</v>
      </c>
    </row>
    <row r="100" spans="12:19" x14ac:dyDescent="0.2">
      <c r="L100" s="7">
        <f t="array" ref="L100:S107">MMULT(_xlfn.ANCHORARRAY(L89),L78:S85)</f>
        <v>1</v>
      </c>
      <c r="M100" s="7">
        <v>0.78720418520592395</v>
      </c>
      <c r="N100" s="7">
        <v>0.73772487481766391</v>
      </c>
      <c r="O100" s="7">
        <v>0.85460617547157147</v>
      </c>
      <c r="P100" s="7">
        <v>0.78821785501828545</v>
      </c>
      <c r="Q100" s="7">
        <v>0.71358688142083837</v>
      </c>
      <c r="R100" s="7">
        <v>0.37576744933067385</v>
      </c>
      <c r="S100" s="7">
        <v>0.73129910721531244</v>
      </c>
    </row>
    <row r="101" spans="12:19" x14ac:dyDescent="0.2">
      <c r="L101" s="7">
        <v>0.78720418520592395</v>
      </c>
      <c r="M101" s="7">
        <v>0.99999999999999978</v>
      </c>
      <c r="N101" s="7">
        <v>0.83023915581870356</v>
      </c>
      <c r="O101" s="7">
        <v>0.92785724424167459</v>
      </c>
      <c r="P101" s="7">
        <v>0.90728423398332148</v>
      </c>
      <c r="Q101" s="7">
        <v>0.83974132435622928</v>
      </c>
      <c r="R101" s="7">
        <v>0.58776505571845628</v>
      </c>
      <c r="S101" s="7">
        <v>0.84387325786118783</v>
      </c>
    </row>
    <row r="102" spans="12:19" x14ac:dyDescent="0.2">
      <c r="L102" s="7">
        <v>0.7377248748176638</v>
      </c>
      <c r="M102" s="7">
        <v>0.83023915581870356</v>
      </c>
      <c r="N102" s="7">
        <v>0.99999999999999978</v>
      </c>
      <c r="O102" s="7">
        <v>0.84973080011417834</v>
      </c>
      <c r="P102" s="7">
        <v>0.82024951972439808</v>
      </c>
      <c r="Q102" s="7">
        <v>0.83949979127379515</v>
      </c>
      <c r="R102" s="7">
        <v>0.61948303718390618</v>
      </c>
      <c r="S102" s="7">
        <v>0.71848038876672471</v>
      </c>
    </row>
    <row r="103" spans="12:19" x14ac:dyDescent="0.2">
      <c r="L103" s="7">
        <v>0.85460617547157136</v>
      </c>
      <c r="M103" s="7">
        <v>0.92785724424167459</v>
      </c>
      <c r="N103" s="7">
        <v>0.84973080011417834</v>
      </c>
      <c r="O103" s="7">
        <v>1.0000000000000002</v>
      </c>
      <c r="P103" s="7">
        <v>0.85196576342650054</v>
      </c>
      <c r="Q103" s="7">
        <v>0.79798183759859553</v>
      </c>
      <c r="R103" s="7">
        <v>0.54780351378534209</v>
      </c>
      <c r="S103" s="7">
        <v>0.85119686689501728</v>
      </c>
    </row>
    <row r="104" spans="12:19" x14ac:dyDescent="0.2">
      <c r="L104" s="7">
        <v>0.78821785501828556</v>
      </c>
      <c r="M104" s="7">
        <v>0.90728423398332148</v>
      </c>
      <c r="N104" s="7">
        <v>0.82024951972439808</v>
      </c>
      <c r="O104" s="7">
        <v>0.85196576342650066</v>
      </c>
      <c r="P104" s="7">
        <v>0.99999999999999989</v>
      </c>
      <c r="Q104" s="7">
        <v>0.80138854193032583</v>
      </c>
      <c r="R104" s="7">
        <v>0.4749470840535327</v>
      </c>
      <c r="S104" s="7">
        <v>0.76530629802932992</v>
      </c>
    </row>
    <row r="105" spans="12:19" x14ac:dyDescent="0.2">
      <c r="L105" s="7">
        <v>0.71358688142083837</v>
      </c>
      <c r="M105" s="7">
        <v>0.83974132435622928</v>
      </c>
      <c r="N105" s="7">
        <v>0.83949979127379504</v>
      </c>
      <c r="O105" s="7">
        <v>0.79798183759859553</v>
      </c>
      <c r="P105" s="7">
        <v>0.80138854193032583</v>
      </c>
      <c r="Q105" s="7">
        <v>1</v>
      </c>
      <c r="R105" s="7">
        <v>0.62693268843629335</v>
      </c>
      <c r="S105" s="7">
        <v>0.63068717948152619</v>
      </c>
    </row>
    <row r="106" spans="12:19" x14ac:dyDescent="0.2">
      <c r="L106" s="7">
        <v>0.37576744933067385</v>
      </c>
      <c r="M106" s="7">
        <v>0.58776505571845639</v>
      </c>
      <c r="N106" s="7">
        <v>0.61948303718390618</v>
      </c>
      <c r="O106" s="7">
        <v>0.54780351378534209</v>
      </c>
      <c r="P106" s="7">
        <v>0.47494708405353264</v>
      </c>
      <c r="Q106" s="7">
        <v>0.62693268843629335</v>
      </c>
      <c r="R106" s="7">
        <v>0.99999999999999978</v>
      </c>
      <c r="S106" s="7">
        <v>0.5551229108570146</v>
      </c>
    </row>
    <row r="107" spans="12:19" x14ac:dyDescent="0.2">
      <c r="L107" s="7">
        <v>0.73129910721531255</v>
      </c>
      <c r="M107" s="7">
        <v>0.84387325786118783</v>
      </c>
      <c r="N107" s="7">
        <v>0.71848038876672471</v>
      </c>
      <c r="O107" s="7">
        <v>0.85119686689501728</v>
      </c>
      <c r="P107" s="7">
        <v>0.76530629802933003</v>
      </c>
      <c r="Q107" s="7">
        <v>0.63068717948152619</v>
      </c>
      <c r="R107" s="7">
        <v>0.5551229108570146</v>
      </c>
      <c r="S107" s="7">
        <v>0.99999999999999989</v>
      </c>
    </row>
  </sheetData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</dc:creator>
  <cp:lastModifiedBy>jerem</cp:lastModifiedBy>
  <dcterms:created xsi:type="dcterms:W3CDTF">2026-08-13T01:11:00Z</dcterms:created>
  <dcterms:modified xsi:type="dcterms:W3CDTF">2026-08-14T03:16:59Z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83ABA91F7AB8459DAA175614FB85F52D_11</vt:lpwstr>
  </property>
  <property fmtid="{D5CDD505-2E9C-101B-9397-08002B2CF9AE}" pid="3" name="KSOProductBuildVer">
    <vt:lpwstr>3082-12.2.0.23206</vt:lpwstr>
  </property>
</Properties>
</file>