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92AFE9C-10B9-4BB2-9FCC-00E67FC08ACF}" xr6:coauthVersionLast="47" xr6:coauthVersionMax="47" xr10:uidLastSave="{00000000-0000-0000-0000-000000000000}"/>
  <bookViews>
    <workbookView xWindow="-98" yWindow="-98" windowWidth="19396" windowHeight="10276" tabRatio="500" xr2:uid="{00000000-000D-0000-FFFF-FFFF00000000}"/>
  </bookViews>
  <sheets>
    <sheet name="MEDIF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98" i="1" l="1" a="1"/>
  <c r="L98" i="1" s="1"/>
  <c r="L87" i="1" a="1"/>
  <c r="L87" i="1" s="1"/>
  <c r="V67" i="1" a="1"/>
  <c r="V67" i="1" s="1"/>
  <c r="V77" i="1" s="1"/>
  <c r="L76" i="1" s="1"/>
  <c r="AD85" i="1"/>
  <c r="T84" i="1" s="1"/>
  <c r="AC84" i="1"/>
  <c r="S83" i="1" s="1"/>
  <c r="AB83" i="1"/>
  <c r="R82" i="1" s="1"/>
  <c r="AA82" i="1"/>
  <c r="Q81" i="1" s="1"/>
  <c r="Z81" i="1"/>
  <c r="P80" i="1" s="1"/>
  <c r="Y80" i="1"/>
  <c r="O79" i="1" s="1"/>
  <c r="X79" i="1"/>
  <c r="N78" i="1" s="1"/>
  <c r="W78" i="1"/>
  <c r="M77" i="1" s="1"/>
  <c r="V57" i="1" l="1" a="1"/>
  <c r="V57" i="1" s="1"/>
  <c r="B74" i="1"/>
  <c r="A45" i="1" a="1"/>
  <c r="A45" i="1" s="1"/>
  <c r="L45" i="1" s="1" a="1"/>
  <c r="L45" i="1" s="1"/>
  <c r="M6" i="1" a="1"/>
  <c r="M6" i="1" s="1"/>
  <c r="M3" i="1"/>
  <c r="B32" i="1"/>
  <c r="C32" i="1"/>
  <c r="D32" i="1"/>
  <c r="E32" i="1"/>
  <c r="F32" i="1"/>
  <c r="G32" i="1"/>
  <c r="H32" i="1"/>
  <c r="I32" i="1"/>
  <c r="A32" i="1"/>
  <c r="E31" i="1"/>
  <c r="F31" i="1"/>
  <c r="G31" i="1"/>
  <c r="H31" i="1"/>
  <c r="I31" i="1"/>
  <c r="D31" i="1"/>
  <c r="C31" i="1"/>
  <c r="B31" i="1"/>
  <c r="A31" i="1"/>
  <c r="O6" i="1" l="1" a="1"/>
  <c r="O6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<sst xmlns="http://schemas.openxmlformats.org/spreadsheetml/2006/main" count="10" uniqueCount="10">
  <si>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Tabla A.5. Datos MEDIFIS</t>
  </si>
  <si>
    <t>Obs.</t>
  </si>
  <si>
    <t>sexo</t>
  </si>
  <si>
    <t>est</t>
  </si>
  <si>
    <t>pes</t>
  </si>
  <si>
    <t>pie</t>
  </si>
  <si>
    <t>lbr</t>
  </si>
  <si>
    <t>aes</t>
  </si>
  <si>
    <t>dcr</t>
  </si>
  <si>
    <t>lrt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</si>
</sst>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9"/>
      <name val="Arial"/>
      <charset val="1"/>
    </font>
    <font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theme="3" tint="0.39997558519241921"/>
      </left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3" borderId="0" xfId="0" applyFont="1" applyFill="1"/>
    <xf numFmtId="0" fontId="0" fillId="3" borderId="0" xfId="0" applyFill="1"/>
    <xf numFmtId="0" fontId="3" fillId="0" borderId="2" xfId="0" applyFont="1" applyFill="1" applyBorder="1" applyAlignment="1">
      <alignment horizontal="center"/>
    </xf>
    <xf numFmtId="0" fontId="0" fillId="4" borderId="0" xfId="0" applyFill="1"/>
    <xf numFmtId="0" fontId="5" fillId="0" borderId="0" xfId="0" applyFont="1"/>
    <xf numFmtId="0" fontId="0" fillId="0" borderId="3" xfId="0" applyBorder="1"/>
    <xf numFmtId="0" fontId="0" fillId="5" borderId="0" xfId="0" applyFill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06"/>
  <sheetViews>
    <sheetView tabSelected="1" topLeftCell="A3" zoomScale="67" zoomScaleNormal="130" workbookViewId="0">
      <selection activeCell="L99" sqref="L99"/>
    </sheetView>
  </sheetViews>
  <sheetFormatPr baseColWidth="10" defaultColWidth="8.6640625" defaultRowHeight="14.25" x14ac:dyDescent="0.45"/>
  <cols>
    <col min="1" max="1" width="6" customWidth="1"/>
    <col min="2" max="9" width="7" customWidth="1"/>
  </cols>
  <sheetData>
    <row r="1" spans="1:20" ht="16.899999999999999" x14ac:dyDescent="0.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20" x14ac:dyDescent="0.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20" x14ac:dyDescent="0.45">
      <c r="A3" s="3">
        <v>1</v>
      </c>
      <c r="B3" s="3">
        <v>0</v>
      </c>
      <c r="C3" s="3">
        <v>159</v>
      </c>
      <c r="D3" s="3">
        <v>49</v>
      </c>
      <c r="E3" s="3">
        <v>36</v>
      </c>
      <c r="F3" s="3">
        <v>68</v>
      </c>
      <c r="G3" s="3">
        <v>42</v>
      </c>
      <c r="H3" s="3">
        <v>57</v>
      </c>
      <c r="I3" s="3">
        <v>40</v>
      </c>
      <c r="K3" s="6">
        <v>1</v>
      </c>
      <c r="M3">
        <f>1/27</f>
        <v>3.7037037037037035E-2</v>
      </c>
    </row>
    <row r="4" spans="1:20" x14ac:dyDescent="0.45">
      <c r="A4" s="3">
        <v>2</v>
      </c>
      <c r="B4" s="3">
        <v>1</v>
      </c>
      <c r="C4" s="3">
        <v>164</v>
      </c>
      <c r="D4" s="3">
        <v>62</v>
      </c>
      <c r="E4" s="3">
        <v>39</v>
      </c>
      <c r="F4" s="3">
        <v>73</v>
      </c>
      <c r="G4" s="3">
        <v>44</v>
      </c>
      <c r="H4" s="3">
        <v>55</v>
      </c>
      <c r="I4" s="3">
        <v>44</v>
      </c>
      <c r="K4" s="6">
        <v>1</v>
      </c>
    </row>
    <row r="5" spans="1:20" x14ac:dyDescent="0.45">
      <c r="A5" s="3">
        <v>3</v>
      </c>
      <c r="B5" s="3">
        <v>0</v>
      </c>
      <c r="C5" s="3">
        <v>172</v>
      </c>
      <c r="D5" s="3">
        <v>65</v>
      </c>
      <c r="E5" s="3">
        <v>38</v>
      </c>
      <c r="F5" s="3">
        <v>75</v>
      </c>
      <c r="G5" s="3">
        <v>48</v>
      </c>
      <c r="H5" s="3">
        <v>58</v>
      </c>
      <c r="I5" s="3">
        <v>44</v>
      </c>
      <c r="K5" s="6">
        <v>1</v>
      </c>
    </row>
    <row r="6" spans="1:20" x14ac:dyDescent="0.45">
      <c r="A6" s="3">
        <v>4</v>
      </c>
      <c r="B6" s="3">
        <v>0</v>
      </c>
      <c r="C6" s="3">
        <v>167</v>
      </c>
      <c r="D6" s="3">
        <v>52</v>
      </c>
      <c r="E6" s="3">
        <v>37</v>
      </c>
      <c r="F6" s="3">
        <v>73</v>
      </c>
      <c r="G6" s="3">
        <v>41.5</v>
      </c>
      <c r="H6" s="3">
        <v>58</v>
      </c>
      <c r="I6" s="3">
        <v>44</v>
      </c>
      <c r="K6" s="6">
        <v>1</v>
      </c>
      <c r="M6" cm="1">
        <f t="array" ref="M6:M14">+MMULT(A34:AA42,K3:K29)</f>
        <v>378</v>
      </c>
      <c r="O6" cm="1">
        <f t="array" ref="O6:O14">+M3*_xlfn.ANCHORARRAY(M6)</f>
        <v>14</v>
      </c>
      <c r="Q6">
        <v>14</v>
      </c>
    </row>
    <row r="7" spans="1:20" x14ac:dyDescent="0.45">
      <c r="A7" s="3">
        <v>5</v>
      </c>
      <c r="B7" s="3">
        <v>0</v>
      </c>
      <c r="C7" s="3">
        <v>164</v>
      </c>
      <c r="D7" s="3">
        <v>51</v>
      </c>
      <c r="E7" s="3">
        <v>36</v>
      </c>
      <c r="F7" s="3">
        <v>71</v>
      </c>
      <c r="G7" s="3">
        <v>44.5</v>
      </c>
      <c r="H7" s="3">
        <v>54</v>
      </c>
      <c r="I7" s="3">
        <v>40</v>
      </c>
      <c r="K7" s="6">
        <v>1</v>
      </c>
      <c r="M7">
        <v>12</v>
      </c>
      <c r="O7">
        <v>0.44444444444444442</v>
      </c>
      <c r="Q7">
        <v>0.44444444444444442</v>
      </c>
    </row>
    <row r="8" spans="1:20" x14ac:dyDescent="0.45">
      <c r="A8" s="3">
        <v>6</v>
      </c>
      <c r="B8" s="3">
        <v>0</v>
      </c>
      <c r="C8" s="3">
        <v>161</v>
      </c>
      <c r="D8" s="3">
        <v>67</v>
      </c>
      <c r="E8" s="3">
        <v>38</v>
      </c>
      <c r="F8" s="3">
        <v>71</v>
      </c>
      <c r="G8" s="3">
        <v>44</v>
      </c>
      <c r="H8" s="3">
        <v>56</v>
      </c>
      <c r="I8" s="3">
        <v>42</v>
      </c>
      <c r="K8" s="6">
        <v>1</v>
      </c>
      <c r="M8">
        <v>4557</v>
      </c>
      <c r="O8">
        <v>168.77777777777777</v>
      </c>
      <c r="Q8">
        <v>168.77777777777777</v>
      </c>
    </row>
    <row r="9" spans="1:20" x14ac:dyDescent="0.45">
      <c r="A9" s="3">
        <v>7</v>
      </c>
      <c r="B9" s="3">
        <v>0</v>
      </c>
      <c r="C9" s="3">
        <v>168</v>
      </c>
      <c r="D9" s="3">
        <v>48</v>
      </c>
      <c r="E9" s="3">
        <v>39</v>
      </c>
      <c r="F9" s="3">
        <v>72.5</v>
      </c>
      <c r="G9" s="3">
        <v>41</v>
      </c>
      <c r="H9" s="3">
        <v>54.5</v>
      </c>
      <c r="I9" s="3">
        <v>43</v>
      </c>
      <c r="K9" s="6">
        <v>1</v>
      </c>
      <c r="M9">
        <v>1725</v>
      </c>
      <c r="O9">
        <v>63.888888888888886</v>
      </c>
      <c r="Q9">
        <v>63.888888888888886</v>
      </c>
    </row>
    <row r="10" spans="1:20" x14ac:dyDescent="0.45">
      <c r="A10" s="3">
        <v>8</v>
      </c>
      <c r="B10" s="3">
        <v>1</v>
      </c>
      <c r="C10" s="3">
        <v>181</v>
      </c>
      <c r="D10" s="3">
        <v>74</v>
      </c>
      <c r="E10" s="3">
        <v>43</v>
      </c>
      <c r="F10" s="3">
        <v>74</v>
      </c>
      <c r="G10" s="3">
        <v>50</v>
      </c>
      <c r="H10" s="3">
        <v>60</v>
      </c>
      <c r="I10" s="3">
        <v>47</v>
      </c>
      <c r="K10" s="6">
        <v>1</v>
      </c>
      <c r="M10">
        <v>1052.5</v>
      </c>
      <c r="O10">
        <v>38.981481481481481</v>
      </c>
      <c r="Q10">
        <v>38.981481481481481</v>
      </c>
    </row>
    <row r="11" spans="1:20" x14ac:dyDescent="0.45">
      <c r="A11" s="3">
        <v>9</v>
      </c>
      <c r="B11" s="3">
        <v>1</v>
      </c>
      <c r="C11" s="3">
        <v>183</v>
      </c>
      <c r="D11" s="3">
        <v>74</v>
      </c>
      <c r="E11" s="3">
        <v>41</v>
      </c>
      <c r="F11" s="3">
        <v>79</v>
      </c>
      <c r="G11" s="3">
        <v>47.5</v>
      </c>
      <c r="H11" s="3">
        <v>59.5</v>
      </c>
      <c r="I11" s="3">
        <v>47</v>
      </c>
      <c r="K11" s="6">
        <v>1</v>
      </c>
      <c r="M11">
        <v>1983.5</v>
      </c>
      <c r="O11">
        <v>73.462962962962962</v>
      </c>
      <c r="Q11">
        <v>73.462962962962962</v>
      </c>
    </row>
    <row r="12" spans="1:20" x14ac:dyDescent="0.45">
      <c r="A12" s="3">
        <v>10</v>
      </c>
      <c r="B12" s="3">
        <v>0</v>
      </c>
      <c r="C12" s="3">
        <v>158</v>
      </c>
      <c r="D12" s="3">
        <v>50</v>
      </c>
      <c r="E12" s="3">
        <v>36</v>
      </c>
      <c r="F12" s="3">
        <v>68.5</v>
      </c>
      <c r="G12" s="3">
        <v>44</v>
      </c>
      <c r="H12" s="3">
        <v>57</v>
      </c>
      <c r="I12" s="3">
        <v>41</v>
      </c>
      <c r="K12" s="6">
        <v>1</v>
      </c>
      <c r="M12">
        <v>1238</v>
      </c>
      <c r="O12">
        <v>45.851851851851848</v>
      </c>
      <c r="Q12">
        <v>45.851851851851848</v>
      </c>
    </row>
    <row r="13" spans="1:20" x14ac:dyDescent="0.45">
      <c r="A13" s="3">
        <v>11</v>
      </c>
      <c r="B13" s="3">
        <v>0</v>
      </c>
      <c r="C13" s="3">
        <v>156</v>
      </c>
      <c r="D13" s="3">
        <v>65</v>
      </c>
      <c r="E13" s="3">
        <v>36</v>
      </c>
      <c r="F13" s="3">
        <v>68</v>
      </c>
      <c r="G13" s="3">
        <v>46</v>
      </c>
      <c r="H13" s="3">
        <v>58</v>
      </c>
      <c r="I13" s="3">
        <v>41</v>
      </c>
      <c r="K13" s="6">
        <v>1</v>
      </c>
      <c r="M13">
        <v>1545.5</v>
      </c>
      <c r="O13">
        <v>57.24074074074074</v>
      </c>
      <c r="Q13">
        <v>57.24074074074074</v>
      </c>
    </row>
    <row r="14" spans="1:20" x14ac:dyDescent="0.45">
      <c r="A14" s="3">
        <v>12</v>
      </c>
      <c r="B14" s="3">
        <v>1</v>
      </c>
      <c r="C14" s="3">
        <v>173</v>
      </c>
      <c r="D14" s="3">
        <v>64</v>
      </c>
      <c r="E14" s="3">
        <v>40</v>
      </c>
      <c r="F14" s="3">
        <v>79</v>
      </c>
      <c r="G14" s="3">
        <v>48</v>
      </c>
      <c r="H14" s="3">
        <v>56.5</v>
      </c>
      <c r="I14" s="3">
        <v>47</v>
      </c>
      <c r="K14" s="6">
        <v>1</v>
      </c>
      <c r="M14">
        <v>1163.5</v>
      </c>
      <c r="O14">
        <v>43.092592592592588</v>
      </c>
      <c r="Q14">
        <v>43.092592592592588</v>
      </c>
    </row>
    <row r="15" spans="1:20" x14ac:dyDescent="0.45">
      <c r="A15" s="3">
        <v>13</v>
      </c>
      <c r="B15" s="3">
        <v>0</v>
      </c>
      <c r="C15" s="3">
        <v>158</v>
      </c>
      <c r="D15" s="3">
        <v>43</v>
      </c>
      <c r="E15" s="3">
        <v>36</v>
      </c>
      <c r="F15" s="3">
        <v>68</v>
      </c>
      <c r="G15" s="3">
        <v>43</v>
      </c>
      <c r="H15" s="3">
        <v>55</v>
      </c>
      <c r="I15" s="3">
        <v>39</v>
      </c>
      <c r="K15" s="6">
        <v>1</v>
      </c>
    </row>
    <row r="16" spans="1:20" x14ac:dyDescent="0.45">
      <c r="A16" s="3">
        <v>14</v>
      </c>
      <c r="B16" s="3">
        <v>1</v>
      </c>
      <c r="C16" s="3">
        <v>178</v>
      </c>
      <c r="D16" s="3">
        <v>74</v>
      </c>
      <c r="E16" s="3">
        <v>42</v>
      </c>
      <c r="F16" s="3">
        <v>75</v>
      </c>
      <c r="G16" s="3">
        <v>50</v>
      </c>
      <c r="H16" s="3">
        <v>59</v>
      </c>
      <c r="I16" s="3">
        <v>45</v>
      </c>
      <c r="K16" s="6">
        <v>1</v>
      </c>
      <c r="L16" s="7">
        <v>14</v>
      </c>
      <c r="M16" s="7">
        <v>0.44444444444444442</v>
      </c>
      <c r="N16" s="7">
        <v>168.77777777777777</v>
      </c>
      <c r="O16" s="7">
        <v>63.888888888888886</v>
      </c>
      <c r="P16" s="7">
        <v>38.981481481481481</v>
      </c>
      <c r="Q16" s="7">
        <v>73.462962962962962</v>
      </c>
      <c r="R16" s="7">
        <v>45.851851851851848</v>
      </c>
      <c r="S16" s="7">
        <v>57.24074074074074</v>
      </c>
      <c r="T16" s="7">
        <v>43.092592592592588</v>
      </c>
    </row>
    <row r="17" spans="1:11" x14ac:dyDescent="0.45">
      <c r="A17" s="3">
        <v>15</v>
      </c>
      <c r="B17" s="3">
        <v>1</v>
      </c>
      <c r="C17" s="3">
        <v>181</v>
      </c>
      <c r="D17" s="3">
        <v>76</v>
      </c>
      <c r="E17" s="3">
        <v>43</v>
      </c>
      <c r="F17" s="3">
        <v>83</v>
      </c>
      <c r="G17" s="3">
        <v>51</v>
      </c>
      <c r="H17" s="3">
        <v>57</v>
      </c>
      <c r="I17" s="3">
        <v>43</v>
      </c>
      <c r="K17" s="6">
        <v>1</v>
      </c>
    </row>
    <row r="18" spans="1:11" x14ac:dyDescent="0.45">
      <c r="A18" s="3">
        <v>16</v>
      </c>
      <c r="B18" s="3">
        <v>1</v>
      </c>
      <c r="C18" s="3">
        <v>182</v>
      </c>
      <c r="D18" s="3">
        <v>91</v>
      </c>
      <c r="E18" s="3">
        <v>41</v>
      </c>
      <c r="F18" s="3">
        <v>83</v>
      </c>
      <c r="G18" s="3">
        <v>53</v>
      </c>
      <c r="H18" s="3">
        <v>59</v>
      </c>
      <c r="I18" s="3">
        <v>43</v>
      </c>
      <c r="K18" s="6">
        <v>1</v>
      </c>
    </row>
    <row r="19" spans="1:11" x14ac:dyDescent="0.45">
      <c r="A19" s="3">
        <v>17</v>
      </c>
      <c r="B19" s="3">
        <v>1</v>
      </c>
      <c r="C19" s="3">
        <v>176</v>
      </c>
      <c r="D19" s="3">
        <v>73</v>
      </c>
      <c r="E19" s="3">
        <v>42</v>
      </c>
      <c r="F19" s="3">
        <v>78</v>
      </c>
      <c r="G19" s="3">
        <v>48</v>
      </c>
      <c r="H19" s="3">
        <v>58</v>
      </c>
      <c r="I19" s="3">
        <v>45</v>
      </c>
      <c r="K19" s="6">
        <v>1</v>
      </c>
    </row>
    <row r="20" spans="1:11" x14ac:dyDescent="0.45">
      <c r="A20" s="3">
        <v>18</v>
      </c>
      <c r="B20" s="3">
        <v>0</v>
      </c>
      <c r="C20" s="3">
        <v>162</v>
      </c>
      <c r="D20" s="3">
        <v>68</v>
      </c>
      <c r="E20" s="3">
        <v>39</v>
      </c>
      <c r="F20" s="3">
        <v>72</v>
      </c>
      <c r="G20" s="3">
        <v>44</v>
      </c>
      <c r="H20" s="3">
        <v>59</v>
      </c>
      <c r="I20" s="3">
        <v>42</v>
      </c>
      <c r="K20" s="6">
        <v>1</v>
      </c>
    </row>
    <row r="21" spans="1:11" x14ac:dyDescent="0.45">
      <c r="A21" s="3">
        <v>19</v>
      </c>
      <c r="B21" s="3">
        <v>0</v>
      </c>
      <c r="C21" s="3">
        <v>156</v>
      </c>
      <c r="D21" s="3">
        <v>52</v>
      </c>
      <c r="E21" s="3">
        <v>36</v>
      </c>
      <c r="F21" s="3">
        <v>67</v>
      </c>
      <c r="G21" s="3">
        <v>36</v>
      </c>
      <c r="H21" s="3">
        <v>56</v>
      </c>
      <c r="I21" s="3">
        <v>41</v>
      </c>
      <c r="K21" s="6">
        <v>1</v>
      </c>
    </row>
    <row r="22" spans="1:11" x14ac:dyDescent="0.45">
      <c r="A22" s="3">
        <v>20</v>
      </c>
      <c r="B22" s="3">
        <v>0</v>
      </c>
      <c r="C22" s="3">
        <v>152</v>
      </c>
      <c r="D22" s="3">
        <v>45</v>
      </c>
      <c r="E22" s="3">
        <v>34</v>
      </c>
      <c r="F22" s="3">
        <v>66</v>
      </c>
      <c r="G22" s="3">
        <v>40</v>
      </c>
      <c r="H22" s="3">
        <v>55</v>
      </c>
      <c r="I22" s="3">
        <v>38</v>
      </c>
      <c r="K22" s="6">
        <v>1</v>
      </c>
    </row>
    <row r="23" spans="1:11" x14ac:dyDescent="0.45">
      <c r="A23" s="3">
        <v>21</v>
      </c>
      <c r="B23" s="3">
        <v>1</v>
      </c>
      <c r="C23" s="3">
        <v>181</v>
      </c>
      <c r="D23" s="3">
        <v>80</v>
      </c>
      <c r="E23" s="3">
        <v>43</v>
      </c>
      <c r="F23" s="3">
        <v>76</v>
      </c>
      <c r="G23" s="3">
        <v>49</v>
      </c>
      <c r="H23" s="3">
        <v>57</v>
      </c>
      <c r="I23" s="3">
        <v>46</v>
      </c>
      <c r="K23" s="6">
        <v>1</v>
      </c>
    </row>
    <row r="24" spans="1:11" x14ac:dyDescent="0.45">
      <c r="A24" s="3">
        <v>22</v>
      </c>
      <c r="B24" s="3">
        <v>1</v>
      </c>
      <c r="C24" s="3">
        <v>173</v>
      </c>
      <c r="D24" s="3">
        <v>69</v>
      </c>
      <c r="E24" s="3">
        <v>41</v>
      </c>
      <c r="F24" s="3">
        <v>74</v>
      </c>
      <c r="G24" s="3">
        <v>48</v>
      </c>
      <c r="H24" s="3">
        <v>56</v>
      </c>
      <c r="I24" s="3">
        <v>44</v>
      </c>
      <c r="K24" s="6">
        <v>1</v>
      </c>
    </row>
    <row r="25" spans="1:11" x14ac:dyDescent="0.45">
      <c r="A25" s="3">
        <v>23</v>
      </c>
      <c r="B25" s="3">
        <v>0</v>
      </c>
      <c r="C25" s="3">
        <v>155</v>
      </c>
      <c r="D25" s="3">
        <v>53</v>
      </c>
      <c r="E25" s="3">
        <v>36</v>
      </c>
      <c r="F25" s="3">
        <v>67</v>
      </c>
      <c r="G25" s="3">
        <v>43</v>
      </c>
      <c r="H25" s="3">
        <v>56</v>
      </c>
      <c r="I25" s="3">
        <v>38</v>
      </c>
      <c r="K25" s="6">
        <v>1</v>
      </c>
    </row>
    <row r="26" spans="1:11" x14ac:dyDescent="0.45">
      <c r="A26" s="3">
        <v>24</v>
      </c>
      <c r="B26" s="3">
        <v>1</v>
      </c>
      <c r="C26" s="3">
        <v>189</v>
      </c>
      <c r="D26" s="3">
        <v>87</v>
      </c>
      <c r="E26" s="3">
        <v>45</v>
      </c>
      <c r="F26" s="3">
        <v>82</v>
      </c>
      <c r="G26" s="3">
        <v>53</v>
      </c>
      <c r="H26" s="3">
        <v>61</v>
      </c>
      <c r="I26" s="3">
        <v>52</v>
      </c>
      <c r="K26" s="6">
        <v>1</v>
      </c>
    </row>
    <row r="27" spans="1:11" x14ac:dyDescent="0.45">
      <c r="A27" s="3">
        <v>25</v>
      </c>
      <c r="B27" s="3">
        <v>0</v>
      </c>
      <c r="C27" s="3">
        <v>170</v>
      </c>
      <c r="D27" s="3">
        <v>70</v>
      </c>
      <c r="E27" s="3">
        <v>38</v>
      </c>
      <c r="F27" s="3">
        <v>73</v>
      </c>
      <c r="G27" s="3">
        <v>45</v>
      </c>
      <c r="H27" s="3">
        <v>56</v>
      </c>
      <c r="I27" s="3">
        <v>43</v>
      </c>
      <c r="K27" s="6">
        <v>1</v>
      </c>
    </row>
    <row r="28" spans="1:11" x14ac:dyDescent="0.45">
      <c r="A28" s="3">
        <v>26</v>
      </c>
      <c r="B28" s="3">
        <v>1</v>
      </c>
      <c r="C28" s="3">
        <v>170</v>
      </c>
      <c r="D28" s="3">
        <v>67</v>
      </c>
      <c r="E28" s="3">
        <v>40</v>
      </c>
      <c r="F28" s="3">
        <v>77</v>
      </c>
      <c r="G28" s="3">
        <v>46.5</v>
      </c>
      <c r="H28" s="3">
        <v>58</v>
      </c>
      <c r="I28" s="3">
        <v>44.5</v>
      </c>
      <c r="K28" s="6">
        <v>1</v>
      </c>
    </row>
    <row r="29" spans="1:11" x14ac:dyDescent="0.45">
      <c r="A29" s="3">
        <v>27</v>
      </c>
      <c r="B29" s="3">
        <v>0</v>
      </c>
      <c r="C29" s="3">
        <v>168</v>
      </c>
      <c r="D29" s="3">
        <v>56</v>
      </c>
      <c r="E29" s="3">
        <v>37.5</v>
      </c>
      <c r="F29" s="3">
        <v>70.5</v>
      </c>
      <c r="G29" s="3">
        <v>48</v>
      </c>
      <c r="H29" s="3">
        <v>60</v>
      </c>
      <c r="I29" s="3">
        <v>40</v>
      </c>
      <c r="K29" s="6">
        <v>1</v>
      </c>
    </row>
    <row r="31" spans="1:11" x14ac:dyDescent="0.45">
      <c r="A31" s="4">
        <f>+AVERAGE(A2:A29)</f>
        <v>14</v>
      </c>
      <c r="B31" s="5">
        <f>+AVERAGE(B2:B29)</f>
        <v>0.44444444444444442</v>
      </c>
      <c r="C31" s="5">
        <f>+AVERAGE(C2:C29)</f>
        <v>168.77777777777777</v>
      </c>
      <c r="D31" s="5">
        <f>+AVERAGE(D2:D29)</f>
        <v>63.888888888888886</v>
      </c>
      <c r="E31" s="5">
        <f t="shared" ref="E31:I31" si="0">+AVERAGE(E2:E29)</f>
        <v>38.981481481481481</v>
      </c>
      <c r="F31" s="5">
        <f t="shared" si="0"/>
        <v>73.462962962962962</v>
      </c>
      <c r="G31" s="5">
        <f t="shared" si="0"/>
        <v>45.851851851851855</v>
      </c>
      <c r="H31" s="5">
        <f t="shared" si="0"/>
        <v>57.24074074074074</v>
      </c>
      <c r="I31" s="5">
        <f t="shared" si="0"/>
        <v>43.092592592592595</v>
      </c>
    </row>
    <row r="32" spans="1:11" x14ac:dyDescent="0.45">
      <c r="A32" s="5">
        <f>+VAR(A2:A29)</f>
        <v>63</v>
      </c>
      <c r="B32" s="5">
        <f t="shared" ref="B32:I32" si="1">+VAR(B2:B29)</f>
        <v>0.25641025641025644</v>
      </c>
      <c r="C32" s="5">
        <f t="shared" si="1"/>
        <v>103.94871794871794</v>
      </c>
      <c r="D32" s="5">
        <f t="shared" si="1"/>
        <v>163.87179487179506</v>
      </c>
      <c r="E32" s="5">
        <f t="shared" si="1"/>
        <v>8.2015669515669529</v>
      </c>
      <c r="F32" s="5">
        <f t="shared" si="1"/>
        <v>24.575498575498571</v>
      </c>
      <c r="G32" s="5">
        <f t="shared" si="1"/>
        <v>16.169515669515668</v>
      </c>
      <c r="H32" s="5">
        <f t="shared" si="1"/>
        <v>3.3917378917378898</v>
      </c>
      <c r="I32" s="5">
        <f t="shared" si="1"/>
        <v>9.9622507122507127</v>
      </c>
    </row>
    <row r="34" spans="1:48" x14ac:dyDescent="0.45">
      <c r="A34" s="3">
        <v>1</v>
      </c>
      <c r="B34" s="3">
        <v>2</v>
      </c>
      <c r="C34" s="3">
        <v>3</v>
      </c>
      <c r="D34" s="3">
        <v>4</v>
      </c>
      <c r="E34" s="3">
        <v>5</v>
      </c>
      <c r="F34" s="3">
        <v>6</v>
      </c>
      <c r="G34" s="3">
        <v>7</v>
      </c>
      <c r="H34" s="3">
        <v>8</v>
      </c>
      <c r="I34" s="3">
        <v>9</v>
      </c>
      <c r="J34" s="3">
        <v>10</v>
      </c>
      <c r="K34" s="3">
        <v>11</v>
      </c>
      <c r="L34" s="3">
        <v>12</v>
      </c>
      <c r="M34" s="3">
        <v>13</v>
      </c>
      <c r="N34" s="3">
        <v>14</v>
      </c>
      <c r="O34" s="3">
        <v>15</v>
      </c>
      <c r="P34" s="3">
        <v>16</v>
      </c>
      <c r="Q34" s="3">
        <v>17</v>
      </c>
      <c r="R34" s="3">
        <v>18</v>
      </c>
      <c r="S34" s="3">
        <v>19</v>
      </c>
      <c r="T34" s="3">
        <v>20</v>
      </c>
      <c r="U34" s="3">
        <v>21</v>
      </c>
      <c r="V34" s="3">
        <v>22</v>
      </c>
      <c r="W34" s="3">
        <v>23</v>
      </c>
      <c r="X34" s="3">
        <v>24</v>
      </c>
      <c r="Y34" s="3">
        <v>25</v>
      </c>
      <c r="Z34" s="3">
        <v>26</v>
      </c>
      <c r="AA34" s="3">
        <v>27</v>
      </c>
    </row>
    <row r="35" spans="1:48" x14ac:dyDescent="0.45">
      <c r="A35" s="3">
        <v>0</v>
      </c>
      <c r="B35" s="3">
        <v>1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1</v>
      </c>
      <c r="I35" s="3">
        <v>1</v>
      </c>
      <c r="J35" s="3">
        <v>0</v>
      </c>
      <c r="K35" s="3">
        <v>0</v>
      </c>
      <c r="L35" s="3">
        <v>1</v>
      </c>
      <c r="M35" s="3">
        <v>0</v>
      </c>
      <c r="N35" s="3">
        <v>1</v>
      </c>
      <c r="O35" s="3">
        <v>1</v>
      </c>
      <c r="P35" s="3">
        <v>1</v>
      </c>
      <c r="Q35" s="3">
        <v>1</v>
      </c>
      <c r="R35" s="3">
        <v>0</v>
      </c>
      <c r="S35" s="3">
        <v>0</v>
      </c>
      <c r="T35" s="3">
        <v>0</v>
      </c>
      <c r="U35" s="3">
        <v>1</v>
      </c>
      <c r="V35" s="3">
        <v>1</v>
      </c>
      <c r="W35" s="3">
        <v>0</v>
      </c>
      <c r="X35" s="3">
        <v>1</v>
      </c>
      <c r="Y35" s="3">
        <v>0</v>
      </c>
      <c r="Z35" s="3">
        <v>1</v>
      </c>
      <c r="AA35" s="3">
        <v>0</v>
      </c>
    </row>
    <row r="36" spans="1:48" x14ac:dyDescent="0.45">
      <c r="A36" s="3">
        <v>159</v>
      </c>
      <c r="B36" s="3">
        <v>164</v>
      </c>
      <c r="C36" s="3">
        <v>172</v>
      </c>
      <c r="D36" s="3">
        <v>167</v>
      </c>
      <c r="E36" s="3">
        <v>164</v>
      </c>
      <c r="F36" s="3">
        <v>161</v>
      </c>
      <c r="G36" s="3">
        <v>168</v>
      </c>
      <c r="H36" s="3">
        <v>181</v>
      </c>
      <c r="I36" s="3">
        <v>183</v>
      </c>
      <c r="J36" s="3">
        <v>158</v>
      </c>
      <c r="K36" s="3">
        <v>156</v>
      </c>
      <c r="L36" s="3">
        <v>173</v>
      </c>
      <c r="M36" s="3">
        <v>158</v>
      </c>
      <c r="N36" s="3">
        <v>178</v>
      </c>
      <c r="O36" s="3">
        <v>181</v>
      </c>
      <c r="P36" s="3">
        <v>182</v>
      </c>
      <c r="Q36" s="3">
        <v>176</v>
      </c>
      <c r="R36" s="3">
        <v>162</v>
      </c>
      <c r="S36" s="3">
        <v>156</v>
      </c>
      <c r="T36" s="3">
        <v>152</v>
      </c>
      <c r="U36" s="3">
        <v>181</v>
      </c>
      <c r="V36" s="3">
        <v>173</v>
      </c>
      <c r="W36" s="3">
        <v>155</v>
      </c>
      <c r="X36" s="3">
        <v>189</v>
      </c>
      <c r="Y36" s="3">
        <v>170</v>
      </c>
      <c r="Z36" s="3">
        <v>170</v>
      </c>
      <c r="AA36" s="3">
        <v>168</v>
      </c>
    </row>
    <row r="37" spans="1:48" x14ac:dyDescent="0.45">
      <c r="A37" s="3">
        <v>49</v>
      </c>
      <c r="B37" s="3">
        <v>62</v>
      </c>
      <c r="C37" s="3">
        <v>65</v>
      </c>
      <c r="D37" s="3">
        <v>52</v>
      </c>
      <c r="E37" s="3">
        <v>51</v>
      </c>
      <c r="F37" s="3">
        <v>67</v>
      </c>
      <c r="G37" s="3">
        <v>48</v>
      </c>
      <c r="H37" s="3">
        <v>74</v>
      </c>
      <c r="I37" s="3">
        <v>74</v>
      </c>
      <c r="J37" s="3">
        <v>50</v>
      </c>
      <c r="K37" s="3">
        <v>65</v>
      </c>
      <c r="L37" s="3">
        <v>64</v>
      </c>
      <c r="M37" s="3">
        <v>43</v>
      </c>
      <c r="N37" s="3">
        <v>74</v>
      </c>
      <c r="O37" s="3">
        <v>76</v>
      </c>
      <c r="P37" s="3">
        <v>91</v>
      </c>
      <c r="Q37" s="3">
        <v>73</v>
      </c>
      <c r="R37" s="3">
        <v>68</v>
      </c>
      <c r="S37" s="3">
        <v>52</v>
      </c>
      <c r="T37" s="3">
        <v>45</v>
      </c>
      <c r="U37" s="3">
        <v>80</v>
      </c>
      <c r="V37" s="3">
        <v>69</v>
      </c>
      <c r="W37" s="3">
        <v>53</v>
      </c>
      <c r="X37" s="3">
        <v>87</v>
      </c>
      <c r="Y37" s="3">
        <v>70</v>
      </c>
      <c r="Z37" s="3">
        <v>67</v>
      </c>
      <c r="AA37" s="3">
        <v>56</v>
      </c>
    </row>
    <row r="38" spans="1:48" x14ac:dyDescent="0.45">
      <c r="A38" s="3">
        <v>36</v>
      </c>
      <c r="B38" s="3">
        <v>39</v>
      </c>
      <c r="C38" s="3">
        <v>38</v>
      </c>
      <c r="D38" s="3">
        <v>37</v>
      </c>
      <c r="E38" s="3">
        <v>36</v>
      </c>
      <c r="F38" s="3">
        <v>38</v>
      </c>
      <c r="G38" s="3">
        <v>39</v>
      </c>
      <c r="H38" s="3">
        <v>43</v>
      </c>
      <c r="I38" s="3">
        <v>41</v>
      </c>
      <c r="J38" s="3">
        <v>36</v>
      </c>
      <c r="K38" s="3">
        <v>36</v>
      </c>
      <c r="L38" s="3">
        <v>40</v>
      </c>
      <c r="M38" s="3">
        <v>36</v>
      </c>
      <c r="N38" s="3">
        <v>42</v>
      </c>
      <c r="O38" s="3">
        <v>43</v>
      </c>
      <c r="P38" s="3">
        <v>41</v>
      </c>
      <c r="Q38" s="3">
        <v>42</v>
      </c>
      <c r="R38" s="3">
        <v>39</v>
      </c>
      <c r="S38" s="3">
        <v>36</v>
      </c>
      <c r="T38" s="3">
        <v>34</v>
      </c>
      <c r="U38" s="3">
        <v>43</v>
      </c>
      <c r="V38" s="3">
        <v>41</v>
      </c>
      <c r="W38" s="3">
        <v>36</v>
      </c>
      <c r="X38" s="3">
        <v>45</v>
      </c>
      <c r="Y38" s="3">
        <v>38</v>
      </c>
      <c r="Z38" s="3">
        <v>40</v>
      </c>
      <c r="AA38" s="3">
        <v>37.5</v>
      </c>
    </row>
    <row r="39" spans="1:48" x14ac:dyDescent="0.45">
      <c r="A39" s="3">
        <v>68</v>
      </c>
      <c r="B39" s="3">
        <v>73</v>
      </c>
      <c r="C39" s="3">
        <v>75</v>
      </c>
      <c r="D39" s="3">
        <v>73</v>
      </c>
      <c r="E39" s="3">
        <v>71</v>
      </c>
      <c r="F39" s="3">
        <v>71</v>
      </c>
      <c r="G39" s="3">
        <v>72.5</v>
      </c>
      <c r="H39" s="3">
        <v>74</v>
      </c>
      <c r="I39" s="3">
        <v>79</v>
      </c>
      <c r="J39" s="3">
        <v>68.5</v>
      </c>
      <c r="K39" s="3">
        <v>68</v>
      </c>
      <c r="L39" s="3">
        <v>79</v>
      </c>
      <c r="M39" s="3">
        <v>68</v>
      </c>
      <c r="N39" s="3">
        <v>75</v>
      </c>
      <c r="O39" s="3">
        <v>83</v>
      </c>
      <c r="P39" s="3">
        <v>83</v>
      </c>
      <c r="Q39" s="3">
        <v>78</v>
      </c>
      <c r="R39" s="3">
        <v>72</v>
      </c>
      <c r="S39" s="3">
        <v>67</v>
      </c>
      <c r="T39" s="3">
        <v>66</v>
      </c>
      <c r="U39" s="3">
        <v>76</v>
      </c>
      <c r="V39" s="3">
        <v>74</v>
      </c>
      <c r="W39" s="3">
        <v>67</v>
      </c>
      <c r="X39" s="3">
        <v>82</v>
      </c>
      <c r="Y39" s="3">
        <v>73</v>
      </c>
      <c r="Z39" s="3">
        <v>77</v>
      </c>
      <c r="AA39" s="3">
        <v>70.5</v>
      </c>
    </row>
    <row r="40" spans="1:48" x14ac:dyDescent="0.45">
      <c r="A40" s="3">
        <v>42</v>
      </c>
      <c r="B40" s="3">
        <v>44</v>
      </c>
      <c r="C40" s="3">
        <v>48</v>
      </c>
      <c r="D40" s="3">
        <v>41.5</v>
      </c>
      <c r="E40" s="3">
        <v>44.5</v>
      </c>
      <c r="F40" s="3">
        <v>44</v>
      </c>
      <c r="G40" s="3">
        <v>41</v>
      </c>
      <c r="H40" s="3">
        <v>50</v>
      </c>
      <c r="I40" s="3">
        <v>47.5</v>
      </c>
      <c r="J40" s="3">
        <v>44</v>
      </c>
      <c r="K40" s="3">
        <v>46</v>
      </c>
      <c r="L40" s="3">
        <v>48</v>
      </c>
      <c r="M40" s="3">
        <v>43</v>
      </c>
      <c r="N40" s="3">
        <v>50</v>
      </c>
      <c r="O40" s="3">
        <v>51</v>
      </c>
      <c r="P40" s="3">
        <v>53</v>
      </c>
      <c r="Q40" s="3">
        <v>48</v>
      </c>
      <c r="R40" s="3">
        <v>44</v>
      </c>
      <c r="S40" s="3">
        <v>36</v>
      </c>
      <c r="T40" s="3">
        <v>40</v>
      </c>
      <c r="U40" s="3">
        <v>49</v>
      </c>
      <c r="V40" s="3">
        <v>48</v>
      </c>
      <c r="W40" s="3">
        <v>43</v>
      </c>
      <c r="X40" s="3">
        <v>53</v>
      </c>
      <c r="Y40" s="3">
        <v>45</v>
      </c>
      <c r="Z40" s="3">
        <v>46.5</v>
      </c>
      <c r="AA40" s="3">
        <v>48</v>
      </c>
    </row>
    <row r="41" spans="1:48" x14ac:dyDescent="0.45">
      <c r="A41" s="3">
        <v>57</v>
      </c>
      <c r="B41" s="3">
        <v>55</v>
      </c>
      <c r="C41" s="3">
        <v>58</v>
      </c>
      <c r="D41" s="3">
        <v>58</v>
      </c>
      <c r="E41" s="3">
        <v>54</v>
      </c>
      <c r="F41" s="3">
        <v>56</v>
      </c>
      <c r="G41" s="3">
        <v>54.5</v>
      </c>
      <c r="H41" s="3">
        <v>60</v>
      </c>
      <c r="I41" s="3">
        <v>59.5</v>
      </c>
      <c r="J41" s="3">
        <v>57</v>
      </c>
      <c r="K41" s="3">
        <v>58</v>
      </c>
      <c r="L41" s="3">
        <v>56.5</v>
      </c>
      <c r="M41" s="3">
        <v>55</v>
      </c>
      <c r="N41" s="3">
        <v>59</v>
      </c>
      <c r="O41" s="3">
        <v>57</v>
      </c>
      <c r="P41" s="3">
        <v>59</v>
      </c>
      <c r="Q41" s="3">
        <v>58</v>
      </c>
      <c r="R41" s="3">
        <v>59</v>
      </c>
      <c r="S41" s="3">
        <v>56</v>
      </c>
      <c r="T41" s="3">
        <v>55</v>
      </c>
      <c r="U41" s="3">
        <v>57</v>
      </c>
      <c r="V41" s="3">
        <v>56</v>
      </c>
      <c r="W41" s="3">
        <v>56</v>
      </c>
      <c r="X41" s="3">
        <v>61</v>
      </c>
      <c r="Y41" s="3">
        <v>56</v>
      </c>
      <c r="Z41" s="3">
        <v>58</v>
      </c>
      <c r="AA41" s="3">
        <v>60</v>
      </c>
    </row>
    <row r="42" spans="1:48" x14ac:dyDescent="0.45">
      <c r="A42" s="3">
        <v>40</v>
      </c>
      <c r="B42" s="3">
        <v>44</v>
      </c>
      <c r="C42" s="3">
        <v>44</v>
      </c>
      <c r="D42" s="3">
        <v>44</v>
      </c>
      <c r="E42" s="3">
        <v>40</v>
      </c>
      <c r="F42" s="3">
        <v>42</v>
      </c>
      <c r="G42" s="3">
        <v>43</v>
      </c>
      <c r="H42" s="3">
        <v>47</v>
      </c>
      <c r="I42" s="3">
        <v>47</v>
      </c>
      <c r="J42" s="3">
        <v>41</v>
      </c>
      <c r="K42" s="3">
        <v>41</v>
      </c>
      <c r="L42" s="3">
        <v>47</v>
      </c>
      <c r="M42" s="3">
        <v>39</v>
      </c>
      <c r="N42" s="3">
        <v>45</v>
      </c>
      <c r="O42" s="3">
        <v>43</v>
      </c>
      <c r="P42" s="3">
        <v>43</v>
      </c>
      <c r="Q42" s="3">
        <v>45</v>
      </c>
      <c r="R42" s="3">
        <v>42</v>
      </c>
      <c r="S42" s="3">
        <v>41</v>
      </c>
      <c r="T42" s="3">
        <v>38</v>
      </c>
      <c r="U42" s="3">
        <v>46</v>
      </c>
      <c r="V42" s="3">
        <v>44</v>
      </c>
      <c r="W42" s="3">
        <v>38</v>
      </c>
      <c r="X42" s="3">
        <v>52</v>
      </c>
      <c r="Y42" s="3">
        <v>43</v>
      </c>
      <c r="Z42" s="3">
        <v>44.5</v>
      </c>
      <c r="AA42" s="3">
        <v>40</v>
      </c>
    </row>
    <row r="45" spans="1:48" x14ac:dyDescent="0.45">
      <c r="A45" cm="1">
        <f t="array" ref="A45:I71">+MMULT(K3:K29,L16:T16)</f>
        <v>14</v>
      </c>
      <c r="B45">
        <v>0.44444444444444442</v>
      </c>
      <c r="C45">
        <v>168.77777777777777</v>
      </c>
      <c r="D45">
        <v>63.888888888888886</v>
      </c>
      <c r="E45">
        <v>38.981481481481481</v>
      </c>
      <c r="F45">
        <v>73.462962962962962</v>
      </c>
      <c r="G45">
        <v>45.851851851851848</v>
      </c>
      <c r="H45">
        <v>57.24074074074074</v>
      </c>
      <c r="I45">
        <v>43.092592592592588</v>
      </c>
      <c r="L45" cm="1">
        <f t="array" ref="L45:T71">+_xlfn.ANCHORARRAY(A45)-A3:I29</f>
        <v>13</v>
      </c>
      <c r="M45">
        <v>0.44444444444444442</v>
      </c>
      <c r="N45">
        <v>9.7777777777777715</v>
      </c>
      <c r="O45">
        <v>14.888888888888886</v>
      </c>
      <c r="P45">
        <v>2.981481481481481</v>
      </c>
      <c r="Q45">
        <v>5.4629629629629619</v>
      </c>
      <c r="R45">
        <v>3.8518518518518476</v>
      </c>
      <c r="S45">
        <v>0.24074074074074048</v>
      </c>
      <c r="T45">
        <v>3.0925925925925881</v>
      </c>
    </row>
    <row r="46" spans="1:48" x14ac:dyDescent="0.45">
      <c r="A46">
        <v>14</v>
      </c>
      <c r="B46">
        <v>0.44444444444444442</v>
      </c>
      <c r="C46">
        <v>168.77777777777777</v>
      </c>
      <c r="D46">
        <v>63.888888888888886</v>
      </c>
      <c r="E46">
        <v>38.981481481481481</v>
      </c>
      <c r="F46">
        <v>73.462962962962962</v>
      </c>
      <c r="G46">
        <v>45.851851851851848</v>
      </c>
      <c r="H46">
        <v>57.24074074074074</v>
      </c>
      <c r="I46">
        <v>43.092592592592588</v>
      </c>
      <c r="L46">
        <v>12</v>
      </c>
      <c r="M46">
        <v>-0.55555555555555558</v>
      </c>
      <c r="N46">
        <v>4.7777777777777715</v>
      </c>
      <c r="O46">
        <v>1.8888888888888857</v>
      </c>
      <c r="P46">
        <v>-1.8518518518519045E-2</v>
      </c>
      <c r="Q46">
        <v>0.46296296296296191</v>
      </c>
      <c r="R46">
        <v>1.8518518518518476</v>
      </c>
      <c r="S46">
        <v>2.2407407407407405</v>
      </c>
      <c r="T46">
        <v>-0.90740740740741188</v>
      </c>
      <c r="V46" s="8">
        <v>13</v>
      </c>
      <c r="W46" s="8">
        <v>12</v>
      </c>
      <c r="X46" s="8">
        <v>11</v>
      </c>
      <c r="Y46" s="8">
        <v>10</v>
      </c>
      <c r="Z46" s="8">
        <v>9</v>
      </c>
      <c r="AA46" s="8">
        <v>8</v>
      </c>
      <c r="AB46" s="8">
        <v>7</v>
      </c>
      <c r="AC46" s="8">
        <v>6</v>
      </c>
      <c r="AD46" s="8">
        <v>5</v>
      </c>
      <c r="AE46" s="8">
        <v>4</v>
      </c>
      <c r="AF46" s="8">
        <v>3</v>
      </c>
      <c r="AG46" s="8">
        <v>2</v>
      </c>
      <c r="AH46" s="8">
        <v>1</v>
      </c>
      <c r="AI46" s="8">
        <v>0</v>
      </c>
      <c r="AJ46" s="8">
        <v>-1</v>
      </c>
      <c r="AK46" s="8">
        <v>-2</v>
      </c>
      <c r="AL46" s="8">
        <v>-3</v>
      </c>
      <c r="AM46" s="8">
        <v>-4</v>
      </c>
      <c r="AN46" s="8">
        <v>-5</v>
      </c>
      <c r="AO46" s="8">
        <v>-6</v>
      </c>
      <c r="AP46" s="8">
        <v>-7</v>
      </c>
      <c r="AQ46" s="8">
        <v>-8</v>
      </c>
      <c r="AR46" s="8">
        <v>-9</v>
      </c>
      <c r="AS46" s="8">
        <v>-10</v>
      </c>
      <c r="AT46" s="8">
        <v>-11</v>
      </c>
      <c r="AU46" s="8">
        <v>-12</v>
      </c>
      <c r="AV46" s="8">
        <v>-13</v>
      </c>
    </row>
    <row r="47" spans="1:48" x14ac:dyDescent="0.45">
      <c r="A47">
        <v>14</v>
      </c>
      <c r="B47">
        <v>0.44444444444444442</v>
      </c>
      <c r="C47">
        <v>168.77777777777777</v>
      </c>
      <c r="D47">
        <v>63.888888888888886</v>
      </c>
      <c r="E47">
        <v>38.981481481481481</v>
      </c>
      <c r="F47">
        <v>73.462962962962962</v>
      </c>
      <c r="G47">
        <v>45.851851851851848</v>
      </c>
      <c r="H47">
        <v>57.24074074074074</v>
      </c>
      <c r="I47">
        <v>43.092592592592588</v>
      </c>
      <c r="L47">
        <v>11</v>
      </c>
      <c r="M47">
        <v>0.44444444444444442</v>
      </c>
      <c r="N47">
        <v>-3.2222222222222285</v>
      </c>
      <c r="O47">
        <v>-1.1111111111111143</v>
      </c>
      <c r="P47">
        <v>0.98148148148148096</v>
      </c>
      <c r="Q47">
        <v>-1.5370370370370381</v>
      </c>
      <c r="R47">
        <v>-2.1481481481481524</v>
      </c>
      <c r="S47">
        <v>-0.75925925925925952</v>
      </c>
      <c r="T47">
        <v>-0.90740740740741188</v>
      </c>
      <c r="V47" s="8">
        <v>0.44444400000000001</v>
      </c>
      <c r="W47" s="8">
        <v>-0.55556000000000005</v>
      </c>
      <c r="X47" s="8">
        <v>0.44444400000000001</v>
      </c>
      <c r="Y47" s="8">
        <v>0.44444400000000001</v>
      </c>
      <c r="Z47" s="8">
        <v>0.44444400000000001</v>
      </c>
      <c r="AA47" s="8">
        <v>0.44444400000000001</v>
      </c>
      <c r="AB47" s="8">
        <v>0.44444400000000001</v>
      </c>
      <c r="AC47" s="8">
        <v>-0.55556000000000005</v>
      </c>
      <c r="AD47" s="8">
        <v>-0.55556000000000005</v>
      </c>
      <c r="AE47" s="8">
        <v>0.44444400000000001</v>
      </c>
      <c r="AF47" s="8">
        <v>0.44444400000000001</v>
      </c>
      <c r="AG47" s="8">
        <v>-0.55556000000000005</v>
      </c>
      <c r="AH47" s="8">
        <v>0.44444400000000001</v>
      </c>
      <c r="AI47" s="8">
        <v>-0.55556000000000005</v>
      </c>
      <c r="AJ47" s="8">
        <v>-0.55556000000000005</v>
      </c>
      <c r="AK47" s="8">
        <v>-0.55556000000000005</v>
      </c>
      <c r="AL47" s="8">
        <v>-0.55556000000000005</v>
      </c>
      <c r="AM47" s="8">
        <v>0.44444400000000001</v>
      </c>
      <c r="AN47" s="8">
        <v>0.44444400000000001</v>
      </c>
      <c r="AO47" s="8">
        <v>0.44444400000000001</v>
      </c>
      <c r="AP47" s="8">
        <v>-0.55556000000000005</v>
      </c>
      <c r="AQ47" s="8">
        <v>-0.55556000000000005</v>
      </c>
      <c r="AR47" s="8">
        <v>0.44444400000000001</v>
      </c>
      <c r="AS47" s="8">
        <v>-0.55556000000000005</v>
      </c>
      <c r="AT47" s="8">
        <v>0.44444400000000001</v>
      </c>
      <c r="AU47" s="8">
        <v>-0.55556000000000005</v>
      </c>
      <c r="AV47" s="8">
        <v>0.44444400000000001</v>
      </c>
    </row>
    <row r="48" spans="1:48" x14ac:dyDescent="0.45">
      <c r="A48">
        <v>14</v>
      </c>
      <c r="B48">
        <v>0.44444444444444442</v>
      </c>
      <c r="C48">
        <v>168.77777777777777</v>
      </c>
      <c r="D48">
        <v>63.888888888888886</v>
      </c>
      <c r="E48">
        <v>38.981481481481481</v>
      </c>
      <c r="F48">
        <v>73.462962962962962</v>
      </c>
      <c r="G48">
        <v>45.851851851851848</v>
      </c>
      <c r="H48">
        <v>57.24074074074074</v>
      </c>
      <c r="I48">
        <v>43.092592592592588</v>
      </c>
      <c r="L48">
        <v>10</v>
      </c>
      <c r="M48">
        <v>0.44444444444444442</v>
      </c>
      <c r="N48">
        <v>1.7777777777777715</v>
      </c>
      <c r="O48">
        <v>11.888888888888886</v>
      </c>
      <c r="P48">
        <v>1.981481481481481</v>
      </c>
      <c r="Q48">
        <v>0.46296296296296191</v>
      </c>
      <c r="R48">
        <v>4.3518518518518476</v>
      </c>
      <c r="S48">
        <v>-0.75925925925925952</v>
      </c>
      <c r="T48">
        <v>-0.90740740740741188</v>
      </c>
      <c r="V48" s="8">
        <v>9.7777779999999996</v>
      </c>
      <c r="W48" s="8">
        <v>4.7777779999999996</v>
      </c>
      <c r="X48" s="8">
        <v>-3.2222200000000001</v>
      </c>
      <c r="Y48" s="8">
        <v>1.7777780000000001</v>
      </c>
      <c r="Z48" s="8">
        <v>4.7777779999999996</v>
      </c>
      <c r="AA48" s="8">
        <v>7.7777779999999996</v>
      </c>
      <c r="AB48" s="8">
        <v>0.77777799999999997</v>
      </c>
      <c r="AC48" s="8">
        <v>-12.222200000000001</v>
      </c>
      <c r="AD48" s="8">
        <v>-14.222200000000001</v>
      </c>
      <c r="AE48" s="8">
        <v>10.77778</v>
      </c>
      <c r="AF48" s="8">
        <v>12.77778</v>
      </c>
      <c r="AG48" s="8">
        <v>-4.2222200000000001</v>
      </c>
      <c r="AH48" s="8">
        <v>10.77778</v>
      </c>
      <c r="AI48" s="8">
        <v>-9.2222200000000001</v>
      </c>
      <c r="AJ48" s="8">
        <v>-12.222200000000001</v>
      </c>
      <c r="AK48" s="8">
        <v>-13.222200000000001</v>
      </c>
      <c r="AL48" s="8">
        <v>-7.2222200000000001</v>
      </c>
      <c r="AM48" s="8">
        <v>6.7777779999999996</v>
      </c>
      <c r="AN48" s="8">
        <v>12.77778</v>
      </c>
      <c r="AO48" s="8">
        <v>16.77778</v>
      </c>
      <c r="AP48" s="8">
        <v>-12.222200000000001</v>
      </c>
      <c r="AQ48" s="8">
        <v>-4.2222200000000001</v>
      </c>
      <c r="AR48" s="8">
        <v>13.77778</v>
      </c>
      <c r="AS48" s="8">
        <v>-20.222200000000001</v>
      </c>
      <c r="AT48" s="8">
        <v>-1.2222200000000001</v>
      </c>
      <c r="AU48" s="8">
        <v>-1.2222200000000001</v>
      </c>
      <c r="AV48" s="8">
        <v>0.77777799999999997</v>
      </c>
    </row>
    <row r="49" spans="1:48" x14ac:dyDescent="0.45">
      <c r="A49">
        <v>14</v>
      </c>
      <c r="B49">
        <v>0.44444444444444442</v>
      </c>
      <c r="C49">
        <v>168.77777777777777</v>
      </c>
      <c r="D49">
        <v>63.888888888888886</v>
      </c>
      <c r="E49">
        <v>38.981481481481481</v>
      </c>
      <c r="F49">
        <v>73.462962962962962</v>
      </c>
      <c r="G49">
        <v>45.851851851851848</v>
      </c>
      <c r="H49">
        <v>57.24074074074074</v>
      </c>
      <c r="I49">
        <v>43.092592592592588</v>
      </c>
      <c r="L49">
        <v>9</v>
      </c>
      <c r="M49">
        <v>0.44444444444444442</v>
      </c>
      <c r="N49">
        <v>4.7777777777777715</v>
      </c>
      <c r="O49">
        <v>12.888888888888886</v>
      </c>
      <c r="P49">
        <v>2.981481481481481</v>
      </c>
      <c r="Q49">
        <v>2.4629629629629619</v>
      </c>
      <c r="R49">
        <v>1.3518518518518476</v>
      </c>
      <c r="S49">
        <v>3.2407407407407405</v>
      </c>
      <c r="T49">
        <v>3.0925925925925881</v>
      </c>
      <c r="V49" s="8">
        <v>14.88889</v>
      </c>
      <c r="W49" s="8">
        <v>1.888889</v>
      </c>
      <c r="X49" s="8">
        <v>-1.11111</v>
      </c>
      <c r="Y49" s="8">
        <v>11.88889</v>
      </c>
      <c r="Z49" s="8">
        <v>12.88889</v>
      </c>
      <c r="AA49" s="8">
        <v>-3.11111</v>
      </c>
      <c r="AB49" s="8">
        <v>15.88889</v>
      </c>
      <c r="AC49" s="8">
        <v>-10.1111</v>
      </c>
      <c r="AD49" s="8">
        <v>-10.1111</v>
      </c>
      <c r="AE49" s="8">
        <v>13.88889</v>
      </c>
      <c r="AF49" s="8">
        <v>-1.11111</v>
      </c>
      <c r="AG49" s="8">
        <v>-0.11111</v>
      </c>
      <c r="AH49" s="8">
        <v>20.88889</v>
      </c>
      <c r="AI49" s="8">
        <v>-10.1111</v>
      </c>
      <c r="AJ49" s="8">
        <v>-12.1111</v>
      </c>
      <c r="AK49" s="8">
        <v>-27.1111</v>
      </c>
      <c r="AL49" s="8">
        <v>-9.11111</v>
      </c>
      <c r="AM49" s="8">
        <v>-4.11111</v>
      </c>
      <c r="AN49" s="8">
        <v>11.88889</v>
      </c>
      <c r="AO49" s="8">
        <v>18.88889</v>
      </c>
      <c r="AP49" s="8">
        <v>-16.1111</v>
      </c>
      <c r="AQ49" s="8">
        <v>-5.11111</v>
      </c>
      <c r="AR49" s="8">
        <v>10.88889</v>
      </c>
      <c r="AS49" s="8">
        <v>-23.1111</v>
      </c>
      <c r="AT49" s="8">
        <v>-6.11111</v>
      </c>
      <c r="AU49" s="8">
        <v>-3.11111</v>
      </c>
      <c r="AV49" s="8">
        <v>7.8888889999999998</v>
      </c>
    </row>
    <row r="50" spans="1:48" x14ac:dyDescent="0.45">
      <c r="A50">
        <v>14</v>
      </c>
      <c r="B50">
        <v>0.44444444444444442</v>
      </c>
      <c r="C50">
        <v>168.77777777777777</v>
      </c>
      <c r="D50">
        <v>63.888888888888886</v>
      </c>
      <c r="E50">
        <v>38.981481481481481</v>
      </c>
      <c r="F50">
        <v>73.462962962962962</v>
      </c>
      <c r="G50">
        <v>45.851851851851848</v>
      </c>
      <c r="H50">
        <v>57.24074074074074</v>
      </c>
      <c r="I50">
        <v>43.092592592592588</v>
      </c>
      <c r="L50">
        <v>8</v>
      </c>
      <c r="M50">
        <v>0.44444444444444442</v>
      </c>
      <c r="N50">
        <v>7.7777777777777715</v>
      </c>
      <c r="O50">
        <v>-3.1111111111111143</v>
      </c>
      <c r="P50">
        <v>0.98148148148148096</v>
      </c>
      <c r="Q50">
        <v>2.4629629629629619</v>
      </c>
      <c r="R50">
        <v>1.8518518518518476</v>
      </c>
      <c r="S50">
        <v>1.2407407407407405</v>
      </c>
      <c r="T50">
        <v>1.0925925925925881</v>
      </c>
      <c r="V50" s="8">
        <v>2.981481</v>
      </c>
      <c r="W50" s="8">
        <v>-1.8519999999999998E-2</v>
      </c>
      <c r="X50" s="8">
        <v>0.98148100000000005</v>
      </c>
      <c r="Y50" s="8">
        <v>1.981481</v>
      </c>
      <c r="Z50" s="8">
        <v>2.981481</v>
      </c>
      <c r="AA50" s="8">
        <v>0.98148100000000005</v>
      </c>
      <c r="AB50" s="8">
        <v>-1.8519999999999998E-2</v>
      </c>
      <c r="AC50" s="8">
        <v>-4.0185199999999996</v>
      </c>
      <c r="AD50" s="8">
        <v>-2.0185200000000001</v>
      </c>
      <c r="AE50" s="8">
        <v>2.981481</v>
      </c>
      <c r="AF50" s="8">
        <v>2.981481</v>
      </c>
      <c r="AG50" s="8">
        <v>-1.0185200000000001</v>
      </c>
      <c r="AH50" s="8">
        <v>2.981481</v>
      </c>
      <c r="AI50" s="8">
        <v>-3.0185200000000001</v>
      </c>
      <c r="AJ50" s="8">
        <v>-4.0185199999999996</v>
      </c>
      <c r="AK50" s="8">
        <v>-2.0185200000000001</v>
      </c>
      <c r="AL50" s="8">
        <v>-3.0185200000000001</v>
      </c>
      <c r="AM50" s="8">
        <v>-1.8519999999999998E-2</v>
      </c>
      <c r="AN50" s="8">
        <v>2.981481</v>
      </c>
      <c r="AO50" s="8">
        <v>4.9814809999999996</v>
      </c>
      <c r="AP50" s="8">
        <v>-4.0185199999999996</v>
      </c>
      <c r="AQ50" s="8">
        <v>-2.0185200000000001</v>
      </c>
      <c r="AR50" s="8">
        <v>2.981481</v>
      </c>
      <c r="AS50" s="8">
        <v>-6.0185199999999996</v>
      </c>
      <c r="AT50" s="8">
        <v>0.98148100000000005</v>
      </c>
      <c r="AU50" s="8">
        <v>-1.0185200000000001</v>
      </c>
      <c r="AV50" s="8">
        <v>1.481481</v>
      </c>
    </row>
    <row r="51" spans="1:48" x14ac:dyDescent="0.45">
      <c r="A51">
        <v>14</v>
      </c>
      <c r="B51">
        <v>0.44444444444444442</v>
      </c>
      <c r="C51">
        <v>168.77777777777777</v>
      </c>
      <c r="D51">
        <v>63.888888888888886</v>
      </c>
      <c r="E51">
        <v>38.981481481481481</v>
      </c>
      <c r="F51">
        <v>73.462962962962962</v>
      </c>
      <c r="G51">
        <v>45.851851851851848</v>
      </c>
      <c r="H51">
        <v>57.24074074074074</v>
      </c>
      <c r="I51">
        <v>43.092592592592588</v>
      </c>
      <c r="L51">
        <v>7</v>
      </c>
      <c r="M51">
        <v>0.44444444444444442</v>
      </c>
      <c r="N51">
        <v>0.77777777777777146</v>
      </c>
      <c r="O51">
        <v>15.888888888888886</v>
      </c>
      <c r="P51">
        <v>-1.8518518518519045E-2</v>
      </c>
      <c r="Q51">
        <v>0.96296296296296191</v>
      </c>
      <c r="R51">
        <v>4.8518518518518476</v>
      </c>
      <c r="S51">
        <v>2.7407407407407405</v>
      </c>
      <c r="T51">
        <v>9.2592592592588119E-2</v>
      </c>
      <c r="V51" s="8">
        <v>5.4629630000000002</v>
      </c>
      <c r="W51" s="8">
        <v>0.46296300000000001</v>
      </c>
      <c r="X51" s="8">
        <v>-1.53704</v>
      </c>
      <c r="Y51" s="8">
        <v>0.46296300000000001</v>
      </c>
      <c r="Z51" s="8">
        <v>2.4629629999999998</v>
      </c>
      <c r="AA51" s="8">
        <v>2.4629629999999998</v>
      </c>
      <c r="AB51" s="8">
        <v>0.96296300000000001</v>
      </c>
      <c r="AC51" s="8">
        <v>-0.53703999999999996</v>
      </c>
      <c r="AD51" s="8">
        <v>-5.5370400000000002</v>
      </c>
      <c r="AE51" s="8">
        <v>4.9629630000000002</v>
      </c>
      <c r="AF51" s="8">
        <v>5.4629630000000002</v>
      </c>
      <c r="AG51" s="8">
        <v>-5.5370400000000002</v>
      </c>
      <c r="AH51" s="8">
        <v>5.4629630000000002</v>
      </c>
      <c r="AI51" s="8">
        <v>-1.53704</v>
      </c>
      <c r="AJ51" s="8">
        <v>-9.5370399999999993</v>
      </c>
      <c r="AK51" s="8">
        <v>-9.5370399999999993</v>
      </c>
      <c r="AL51" s="8">
        <v>-4.5370400000000002</v>
      </c>
      <c r="AM51" s="8">
        <v>1.462963</v>
      </c>
      <c r="AN51" s="8">
        <v>6.4629630000000002</v>
      </c>
      <c r="AO51" s="8">
        <v>7.4629630000000002</v>
      </c>
      <c r="AP51" s="8">
        <v>-2.5370400000000002</v>
      </c>
      <c r="AQ51" s="8">
        <v>-0.53703999999999996</v>
      </c>
      <c r="AR51" s="8">
        <v>6.4629630000000002</v>
      </c>
      <c r="AS51" s="8">
        <v>-8.5370399999999993</v>
      </c>
      <c r="AT51" s="8">
        <v>0.46296300000000001</v>
      </c>
      <c r="AU51" s="8">
        <v>-3.5370400000000002</v>
      </c>
      <c r="AV51" s="8">
        <v>2.9629629999999998</v>
      </c>
    </row>
    <row r="52" spans="1:48" x14ac:dyDescent="0.45">
      <c r="A52">
        <v>14</v>
      </c>
      <c r="B52">
        <v>0.44444444444444442</v>
      </c>
      <c r="C52">
        <v>168.77777777777777</v>
      </c>
      <c r="D52">
        <v>63.888888888888886</v>
      </c>
      <c r="E52">
        <v>38.981481481481481</v>
      </c>
      <c r="F52">
        <v>73.462962962962962</v>
      </c>
      <c r="G52">
        <v>45.851851851851848</v>
      </c>
      <c r="H52">
        <v>57.24074074074074</v>
      </c>
      <c r="I52">
        <v>43.092592592592588</v>
      </c>
      <c r="L52">
        <v>6</v>
      </c>
      <c r="M52">
        <v>-0.55555555555555558</v>
      </c>
      <c r="N52">
        <v>-12.222222222222229</v>
      </c>
      <c r="O52">
        <v>-10.111111111111114</v>
      </c>
      <c r="P52">
        <v>-4.018518518518519</v>
      </c>
      <c r="Q52">
        <v>-0.53703703703703809</v>
      </c>
      <c r="R52">
        <v>-4.1481481481481524</v>
      </c>
      <c r="S52">
        <v>-2.7592592592592595</v>
      </c>
      <c r="T52">
        <v>-3.9074074074074119</v>
      </c>
      <c r="V52" s="8">
        <v>3.8518520000000001</v>
      </c>
      <c r="W52" s="8">
        <v>1.8518520000000001</v>
      </c>
      <c r="X52" s="8">
        <v>-2.1481499999999998</v>
      </c>
      <c r="Y52" s="8">
        <v>4.3518520000000001</v>
      </c>
      <c r="Z52" s="8">
        <v>1.3518520000000001</v>
      </c>
      <c r="AA52" s="8">
        <v>1.8518520000000001</v>
      </c>
      <c r="AB52" s="8">
        <v>4.8518520000000001</v>
      </c>
      <c r="AC52" s="8">
        <v>-4.1481500000000002</v>
      </c>
      <c r="AD52" s="8">
        <v>-1.64815</v>
      </c>
      <c r="AE52" s="8">
        <v>1.8518520000000001</v>
      </c>
      <c r="AF52" s="8">
        <v>-0.14815</v>
      </c>
      <c r="AG52" s="8">
        <v>-2.1481499999999998</v>
      </c>
      <c r="AH52" s="8">
        <v>2.8518520000000001</v>
      </c>
      <c r="AI52" s="8">
        <v>-4.1481500000000002</v>
      </c>
      <c r="AJ52" s="8">
        <v>-5.1481500000000002</v>
      </c>
      <c r="AK52" s="8">
        <v>-7.1481500000000002</v>
      </c>
      <c r="AL52" s="8">
        <v>-2.1481499999999998</v>
      </c>
      <c r="AM52" s="8">
        <v>1.8518520000000001</v>
      </c>
      <c r="AN52" s="8">
        <v>9.8518519999999992</v>
      </c>
      <c r="AO52" s="8">
        <v>5.8518520000000001</v>
      </c>
      <c r="AP52" s="8">
        <v>-3.1481499999999998</v>
      </c>
      <c r="AQ52" s="8">
        <v>-2.1481499999999998</v>
      </c>
      <c r="AR52" s="8">
        <v>2.8518520000000001</v>
      </c>
      <c r="AS52" s="8">
        <v>-7.1481500000000002</v>
      </c>
      <c r="AT52" s="8">
        <v>0.85185200000000005</v>
      </c>
      <c r="AU52" s="8">
        <v>-0.64815</v>
      </c>
      <c r="AV52" s="8">
        <v>-2.1481499999999998</v>
      </c>
    </row>
    <row r="53" spans="1:48" x14ac:dyDescent="0.45">
      <c r="A53">
        <v>14</v>
      </c>
      <c r="B53">
        <v>0.44444444444444442</v>
      </c>
      <c r="C53">
        <v>168.77777777777777</v>
      </c>
      <c r="D53">
        <v>63.888888888888886</v>
      </c>
      <c r="E53">
        <v>38.981481481481481</v>
      </c>
      <c r="F53">
        <v>73.462962962962962</v>
      </c>
      <c r="G53">
        <v>45.851851851851848</v>
      </c>
      <c r="H53">
        <v>57.24074074074074</v>
      </c>
      <c r="I53">
        <v>43.092592592592588</v>
      </c>
      <c r="L53">
        <v>5</v>
      </c>
      <c r="M53">
        <v>-0.55555555555555558</v>
      </c>
      <c r="N53">
        <v>-14.222222222222229</v>
      </c>
      <c r="O53">
        <v>-10.111111111111114</v>
      </c>
      <c r="P53">
        <v>-2.018518518518519</v>
      </c>
      <c r="Q53">
        <v>-5.5370370370370381</v>
      </c>
      <c r="R53">
        <v>-1.6481481481481524</v>
      </c>
      <c r="S53">
        <v>-2.2592592592592595</v>
      </c>
      <c r="T53">
        <v>-3.9074074074074119</v>
      </c>
      <c r="V53" s="8">
        <v>0.24074100000000001</v>
      </c>
      <c r="W53" s="8">
        <v>2.2407409999999999</v>
      </c>
      <c r="X53" s="8">
        <v>-0.75926000000000005</v>
      </c>
      <c r="Y53" s="8">
        <v>-0.75926000000000005</v>
      </c>
      <c r="Z53" s="8">
        <v>3.2407409999999999</v>
      </c>
      <c r="AA53" s="8">
        <v>1.2407410000000001</v>
      </c>
      <c r="AB53" s="8">
        <v>2.7407409999999999</v>
      </c>
      <c r="AC53" s="8">
        <v>-2.7592599999999998</v>
      </c>
      <c r="AD53" s="8">
        <v>-2.2592599999999998</v>
      </c>
      <c r="AE53" s="8">
        <v>0.24074100000000001</v>
      </c>
      <c r="AF53" s="8">
        <v>-0.75926000000000005</v>
      </c>
      <c r="AG53" s="8">
        <v>0.74074099999999998</v>
      </c>
      <c r="AH53" s="8">
        <v>2.2407409999999999</v>
      </c>
      <c r="AI53" s="8">
        <v>-1.75926</v>
      </c>
      <c r="AJ53" s="8">
        <v>0.24074100000000001</v>
      </c>
      <c r="AK53" s="8">
        <v>-1.75926</v>
      </c>
      <c r="AL53" s="8">
        <v>-0.75926000000000005</v>
      </c>
      <c r="AM53" s="8">
        <v>-1.75926</v>
      </c>
      <c r="AN53" s="8">
        <v>1.2407410000000001</v>
      </c>
      <c r="AO53" s="8">
        <v>2.2407409999999999</v>
      </c>
      <c r="AP53" s="8">
        <v>0.24074100000000001</v>
      </c>
      <c r="AQ53" s="8">
        <v>1.2407410000000001</v>
      </c>
      <c r="AR53" s="8">
        <v>1.2407410000000001</v>
      </c>
      <c r="AS53" s="8">
        <v>-3.7592599999999998</v>
      </c>
      <c r="AT53" s="8">
        <v>1.2407410000000001</v>
      </c>
      <c r="AU53" s="8">
        <v>-0.75926000000000005</v>
      </c>
      <c r="AV53" s="8">
        <v>-2.7592599999999998</v>
      </c>
    </row>
    <row r="54" spans="1:48" x14ac:dyDescent="0.45">
      <c r="A54">
        <v>14</v>
      </c>
      <c r="B54">
        <v>0.44444444444444442</v>
      </c>
      <c r="C54">
        <v>168.77777777777777</v>
      </c>
      <c r="D54">
        <v>63.888888888888886</v>
      </c>
      <c r="E54">
        <v>38.981481481481481</v>
      </c>
      <c r="F54">
        <v>73.462962962962962</v>
      </c>
      <c r="G54">
        <v>45.851851851851848</v>
      </c>
      <c r="H54">
        <v>57.24074074074074</v>
      </c>
      <c r="I54">
        <v>43.092592592592588</v>
      </c>
      <c r="L54">
        <v>4</v>
      </c>
      <c r="M54">
        <v>0.44444444444444442</v>
      </c>
      <c r="N54">
        <v>10.777777777777771</v>
      </c>
      <c r="O54">
        <v>13.888888888888886</v>
      </c>
      <c r="P54">
        <v>2.981481481481481</v>
      </c>
      <c r="Q54">
        <v>4.9629629629629619</v>
      </c>
      <c r="R54">
        <v>1.8518518518518476</v>
      </c>
      <c r="S54">
        <v>0.24074074074074048</v>
      </c>
      <c r="T54">
        <v>2.0925925925925881</v>
      </c>
      <c r="V54" s="8">
        <v>3.0925929999999999</v>
      </c>
      <c r="W54" s="8">
        <v>-0.90741000000000005</v>
      </c>
      <c r="X54" s="8">
        <v>-0.90741000000000005</v>
      </c>
      <c r="Y54" s="8">
        <v>-0.90741000000000005</v>
      </c>
      <c r="Z54" s="8">
        <v>3.0925929999999999</v>
      </c>
      <c r="AA54" s="8">
        <v>1.0925929999999999</v>
      </c>
      <c r="AB54" s="8">
        <v>9.2592999999999995E-2</v>
      </c>
      <c r="AC54" s="8">
        <v>-3.90741</v>
      </c>
      <c r="AD54" s="8">
        <v>-3.90741</v>
      </c>
      <c r="AE54" s="8">
        <v>2.0925929999999999</v>
      </c>
      <c r="AF54" s="8">
        <v>2.0925929999999999</v>
      </c>
      <c r="AG54" s="8">
        <v>-3.90741</v>
      </c>
      <c r="AH54" s="8">
        <v>4.0925929999999999</v>
      </c>
      <c r="AI54" s="8">
        <v>-1.90741</v>
      </c>
      <c r="AJ54" s="8">
        <v>9.2592999999999995E-2</v>
      </c>
      <c r="AK54" s="8">
        <v>9.2592999999999995E-2</v>
      </c>
      <c r="AL54" s="8">
        <v>-1.90741</v>
      </c>
      <c r="AM54" s="8">
        <v>1.0925929999999999</v>
      </c>
      <c r="AN54" s="8">
        <v>2.0925929999999999</v>
      </c>
      <c r="AO54" s="8">
        <v>5.0925929999999999</v>
      </c>
      <c r="AP54" s="8">
        <v>-2.90741</v>
      </c>
      <c r="AQ54" s="8">
        <v>-0.90741000000000005</v>
      </c>
      <c r="AR54" s="8">
        <v>5.0925929999999999</v>
      </c>
      <c r="AS54" s="8">
        <v>-8.9074100000000005</v>
      </c>
      <c r="AT54" s="8">
        <v>9.2592999999999995E-2</v>
      </c>
      <c r="AU54" s="8">
        <v>-1.40741</v>
      </c>
      <c r="AV54" s="8">
        <v>3.0925929999999999</v>
      </c>
    </row>
    <row r="55" spans="1:48" x14ac:dyDescent="0.45">
      <c r="A55">
        <v>14</v>
      </c>
      <c r="B55">
        <v>0.44444444444444442</v>
      </c>
      <c r="C55">
        <v>168.77777777777777</v>
      </c>
      <c r="D55">
        <v>63.888888888888886</v>
      </c>
      <c r="E55">
        <v>38.981481481481481</v>
      </c>
      <c r="F55">
        <v>73.462962962962962</v>
      </c>
      <c r="G55">
        <v>45.851851851851848</v>
      </c>
      <c r="H55">
        <v>57.24074074074074</v>
      </c>
      <c r="I55">
        <v>43.092592592592588</v>
      </c>
      <c r="L55">
        <v>3</v>
      </c>
      <c r="M55">
        <v>0.44444444444444442</v>
      </c>
      <c r="N55">
        <v>12.777777777777771</v>
      </c>
      <c r="O55">
        <v>-1.1111111111111143</v>
      </c>
      <c r="P55">
        <v>2.981481481481481</v>
      </c>
      <c r="Q55">
        <v>5.4629629629629619</v>
      </c>
      <c r="R55">
        <v>-0.14814814814815236</v>
      </c>
      <c r="S55">
        <v>-0.75925925925925952</v>
      </c>
      <c r="T55">
        <v>2.0925925925925881</v>
      </c>
    </row>
    <row r="56" spans="1:48" x14ac:dyDescent="0.45">
      <c r="A56">
        <v>14</v>
      </c>
      <c r="B56">
        <v>0.44444444444444442</v>
      </c>
      <c r="C56">
        <v>168.77777777777777</v>
      </c>
      <c r="D56">
        <v>63.888888888888886</v>
      </c>
      <c r="E56">
        <v>38.981481481481481</v>
      </c>
      <c r="F56">
        <v>73.462962962962962</v>
      </c>
      <c r="G56">
        <v>45.851851851851848</v>
      </c>
      <c r="H56">
        <v>57.24074074074074</v>
      </c>
      <c r="I56">
        <v>43.092592592592588</v>
      </c>
      <c r="L56">
        <v>2</v>
      </c>
      <c r="M56">
        <v>-0.55555555555555558</v>
      </c>
      <c r="N56">
        <v>-4.2222222222222285</v>
      </c>
      <c r="O56">
        <v>-0.11111111111111427</v>
      </c>
      <c r="P56">
        <v>-1.018518518518519</v>
      </c>
      <c r="Q56">
        <v>-5.5370370370370381</v>
      </c>
      <c r="R56">
        <v>-2.1481481481481524</v>
      </c>
      <c r="S56">
        <v>0.74074074074074048</v>
      </c>
      <c r="T56">
        <v>-3.9074074074074119</v>
      </c>
    </row>
    <row r="57" spans="1:48" x14ac:dyDescent="0.45">
      <c r="A57">
        <v>14</v>
      </c>
      <c r="B57">
        <v>0.44444444444444442</v>
      </c>
      <c r="C57">
        <v>168.77777777777777</v>
      </c>
      <c r="D57">
        <v>63.888888888888886</v>
      </c>
      <c r="E57">
        <v>38.981481481481481</v>
      </c>
      <c r="F57">
        <v>73.462962962962962</v>
      </c>
      <c r="G57">
        <v>45.851851851851848</v>
      </c>
      <c r="H57">
        <v>57.24074074074074</v>
      </c>
      <c r="I57">
        <v>43.092592592592588</v>
      </c>
      <c r="L57">
        <v>1</v>
      </c>
      <c r="M57">
        <v>0.44444444444444442</v>
      </c>
      <c r="N57">
        <v>10.777777777777771</v>
      </c>
      <c r="O57">
        <v>20.888888888888886</v>
      </c>
      <c r="P57">
        <v>2.981481481481481</v>
      </c>
      <c r="Q57">
        <v>5.4629629629629619</v>
      </c>
      <c r="R57">
        <v>2.8518518518518476</v>
      </c>
      <c r="S57">
        <v>2.2407407407407405</v>
      </c>
      <c r="T57">
        <v>4.0925925925925881</v>
      </c>
      <c r="V57" cm="1">
        <f t="array" ref="V57:AD65">+MMULT(V46:AV54,_xlfn.ANCHORARRAY(L45))</f>
        <v>1638</v>
      </c>
      <c r="W57">
        <v>18</v>
      </c>
      <c r="X57">
        <v>301</v>
      </c>
      <c r="Y57">
        <v>712.99999999999966</v>
      </c>
      <c r="Z57">
        <v>123.49999999999999</v>
      </c>
      <c r="AA57">
        <v>120</v>
      </c>
      <c r="AB57">
        <v>171</v>
      </c>
      <c r="AC57">
        <v>86</v>
      </c>
      <c r="AD57">
        <v>22</v>
      </c>
    </row>
    <row r="58" spans="1:48" x14ac:dyDescent="0.45">
      <c r="A58">
        <v>14</v>
      </c>
      <c r="B58">
        <v>0.44444444444444442</v>
      </c>
      <c r="C58">
        <v>168.77777777777777</v>
      </c>
      <c r="D58">
        <v>63.888888888888886</v>
      </c>
      <c r="E58">
        <v>38.981481481481481</v>
      </c>
      <c r="F58">
        <v>73.462962962962962</v>
      </c>
      <c r="G58">
        <v>45.851851851851848</v>
      </c>
      <c r="H58">
        <v>57.24074074074074</v>
      </c>
      <c r="I58">
        <v>43.092592592592588</v>
      </c>
      <c r="L58">
        <v>0</v>
      </c>
      <c r="M58">
        <v>-0.55555555555555558</v>
      </c>
      <c r="N58">
        <v>-9.2222222222222285</v>
      </c>
      <c r="O58">
        <v>-10.111111111111114</v>
      </c>
      <c r="P58">
        <v>-3.018518518518519</v>
      </c>
      <c r="Q58">
        <v>-1.5370370370370381</v>
      </c>
      <c r="R58">
        <v>-4.1481481481481524</v>
      </c>
      <c r="S58">
        <v>-1.7592592592592595</v>
      </c>
      <c r="T58">
        <v>-1.9074074074074119</v>
      </c>
      <c r="V58">
        <v>18.000071999999996</v>
      </c>
      <c r="W58">
        <v>6.666693333333332</v>
      </c>
      <c r="X58">
        <v>105.66708933333337</v>
      </c>
      <c r="Y58">
        <v>124.33383066666669</v>
      </c>
      <c r="Z58">
        <v>32.222351111111116</v>
      </c>
      <c r="AA58">
        <v>51.444650222222229</v>
      </c>
      <c r="AB58">
        <v>37.777928888888894</v>
      </c>
      <c r="AC58">
        <v>9.1111475555555561</v>
      </c>
      <c r="AD58">
        <v>30.389010444444448</v>
      </c>
    </row>
    <row r="59" spans="1:48" x14ac:dyDescent="0.45">
      <c r="A59">
        <v>14</v>
      </c>
      <c r="B59">
        <v>0.44444444444444442</v>
      </c>
      <c r="C59">
        <v>168.77777777777777</v>
      </c>
      <c r="D59">
        <v>63.888888888888886</v>
      </c>
      <c r="E59">
        <v>38.981481481481481</v>
      </c>
      <c r="F59">
        <v>73.462962962962962</v>
      </c>
      <c r="G59">
        <v>45.851851851851848</v>
      </c>
      <c r="H59">
        <v>57.24074074074074</v>
      </c>
      <c r="I59">
        <v>43.092592592592588</v>
      </c>
      <c r="L59">
        <v>-1</v>
      </c>
      <c r="M59">
        <v>-0.55555555555555558</v>
      </c>
      <c r="N59">
        <v>-12.222222222222229</v>
      </c>
      <c r="O59">
        <v>-12.111111111111114</v>
      </c>
      <c r="P59">
        <v>-4.018518518518519</v>
      </c>
      <c r="Q59">
        <v>-9.5370370370370381</v>
      </c>
      <c r="R59">
        <v>-5.1481481481481524</v>
      </c>
      <c r="S59">
        <v>0.24074074074074048</v>
      </c>
      <c r="T59">
        <v>9.2592592592588119E-2</v>
      </c>
      <c r="V59">
        <v>300.99973599999993</v>
      </c>
      <c r="W59">
        <v>105.66659488888889</v>
      </c>
      <c r="X59">
        <v>2702.6649055555558</v>
      </c>
      <c r="Y59">
        <v>2817.3312437777781</v>
      </c>
      <c r="Z59">
        <v>704.38842596296308</v>
      </c>
      <c r="AA59">
        <v>1192.277019925926</v>
      </c>
      <c r="AB59">
        <v>895.11050770370389</v>
      </c>
      <c r="AC59">
        <v>286.94423448148143</v>
      </c>
      <c r="AD59">
        <v>706.05514718518521</v>
      </c>
    </row>
    <row r="60" spans="1:48" x14ac:dyDescent="0.45">
      <c r="A60">
        <v>14</v>
      </c>
      <c r="B60">
        <v>0.44444444444444442</v>
      </c>
      <c r="C60">
        <v>168.77777777777777</v>
      </c>
      <c r="D60">
        <v>63.888888888888886</v>
      </c>
      <c r="E60">
        <v>38.981481481481481</v>
      </c>
      <c r="F60">
        <v>73.462962962962962</v>
      </c>
      <c r="G60">
        <v>45.851851851851848</v>
      </c>
      <c r="H60">
        <v>57.24074074074074</v>
      </c>
      <c r="I60">
        <v>43.092592592592588</v>
      </c>
      <c r="L60">
        <v>-2</v>
      </c>
      <c r="M60">
        <v>-0.55555555555555558</v>
      </c>
      <c r="N60">
        <v>-13.222222222222229</v>
      </c>
      <c r="O60">
        <v>-27.111111111111114</v>
      </c>
      <c r="P60">
        <v>-2.018518518518519</v>
      </c>
      <c r="Q60">
        <v>-9.5370370370370381</v>
      </c>
      <c r="R60">
        <v>-7.1481481481481524</v>
      </c>
      <c r="S60">
        <v>-1.7592592592592595</v>
      </c>
      <c r="T60">
        <v>9.2592592592588119E-2</v>
      </c>
      <c r="V60">
        <v>712.99991100000011</v>
      </c>
      <c r="W60">
        <v>124.33329455555555</v>
      </c>
      <c r="X60">
        <v>2817.3323922222226</v>
      </c>
      <c r="Y60">
        <v>4260.6655691111118</v>
      </c>
      <c r="Z60">
        <v>809.94419168518527</v>
      </c>
      <c r="AA60">
        <v>1353.3885078703704</v>
      </c>
      <c r="AB60">
        <v>1123.5552304814814</v>
      </c>
      <c r="AC60">
        <v>379.72210459259264</v>
      </c>
      <c r="AD60">
        <v>754.77756207407435</v>
      </c>
    </row>
    <row r="61" spans="1:48" x14ac:dyDescent="0.45">
      <c r="A61">
        <v>14</v>
      </c>
      <c r="B61">
        <v>0.44444444444444442</v>
      </c>
      <c r="C61">
        <v>168.77777777777777</v>
      </c>
      <c r="D61">
        <v>63.888888888888886</v>
      </c>
      <c r="E61">
        <v>38.981481481481481</v>
      </c>
      <c r="F61">
        <v>73.462962962962962</v>
      </c>
      <c r="G61">
        <v>45.851851851851848</v>
      </c>
      <c r="H61">
        <v>57.24074074074074</v>
      </c>
      <c r="I61">
        <v>43.092592592592588</v>
      </c>
      <c r="L61">
        <v>-3</v>
      </c>
      <c r="M61">
        <v>-0.55555555555555558</v>
      </c>
      <c r="N61">
        <v>-7.2222222222222285</v>
      </c>
      <c r="O61">
        <v>-9.1111111111111143</v>
      </c>
      <c r="P61">
        <v>-3.018518518518519</v>
      </c>
      <c r="Q61">
        <v>-4.5370370370370381</v>
      </c>
      <c r="R61">
        <v>-2.1481481481481524</v>
      </c>
      <c r="S61">
        <v>-0.75925925925925952</v>
      </c>
      <c r="T61">
        <v>-1.9074074074074119</v>
      </c>
      <c r="V61">
        <v>123.50001499999996</v>
      </c>
      <c r="W61">
        <v>32.222228000000001</v>
      </c>
      <c r="X61">
        <v>704.38898700000004</v>
      </c>
      <c r="Y61">
        <v>809.94455699999992</v>
      </c>
      <c r="Z61">
        <v>213.24077299999999</v>
      </c>
      <c r="AA61">
        <v>314.48153049999996</v>
      </c>
      <c r="AB61">
        <v>238.92595700000004</v>
      </c>
      <c r="AC61">
        <v>75.120378500000001</v>
      </c>
      <c r="AD61">
        <v>200.04632549999999</v>
      </c>
    </row>
    <row r="62" spans="1:48" x14ac:dyDescent="0.45">
      <c r="A62">
        <v>14</v>
      </c>
      <c r="B62">
        <v>0.44444444444444442</v>
      </c>
      <c r="C62">
        <v>168.77777777777777</v>
      </c>
      <c r="D62">
        <v>63.888888888888886</v>
      </c>
      <c r="E62">
        <v>38.981481481481481</v>
      </c>
      <c r="F62">
        <v>73.462962962962962</v>
      </c>
      <c r="G62">
        <v>45.851851851851848</v>
      </c>
      <c r="H62">
        <v>57.24074074074074</v>
      </c>
      <c r="I62">
        <v>43.092592592592588</v>
      </c>
      <c r="L62">
        <v>-4</v>
      </c>
      <c r="M62">
        <v>0.44444444444444442</v>
      </c>
      <c r="N62">
        <v>6.7777777777777715</v>
      </c>
      <c r="O62">
        <v>-4.1111111111111143</v>
      </c>
      <c r="P62">
        <v>-1.8518518518519045E-2</v>
      </c>
      <c r="Q62">
        <v>1.4629629629629619</v>
      </c>
      <c r="R62">
        <v>1.8518518518518476</v>
      </c>
      <c r="S62">
        <v>-1.7592592592592595</v>
      </c>
      <c r="T62">
        <v>1.0925925925925881</v>
      </c>
      <c r="V62">
        <v>120.000057</v>
      </c>
      <c r="W62">
        <v>51.444461444444435</v>
      </c>
      <c r="X62">
        <v>1192.2781187777778</v>
      </c>
      <c r="Y62">
        <v>1353.3892708888886</v>
      </c>
      <c r="Z62">
        <v>314.48157514814812</v>
      </c>
      <c r="AA62">
        <v>638.9631232962962</v>
      </c>
      <c r="AB62">
        <v>415.35197718518515</v>
      </c>
      <c r="AC62">
        <v>112.74077707407409</v>
      </c>
      <c r="AD62">
        <v>311.34268375925927</v>
      </c>
    </row>
    <row r="63" spans="1:48" x14ac:dyDescent="0.45">
      <c r="A63">
        <v>14</v>
      </c>
      <c r="B63">
        <v>0.44444444444444442</v>
      </c>
      <c r="C63">
        <v>168.77777777777777</v>
      </c>
      <c r="D63">
        <v>63.888888888888886</v>
      </c>
      <c r="E63">
        <v>38.981481481481481</v>
      </c>
      <c r="F63">
        <v>73.462962962962962</v>
      </c>
      <c r="G63">
        <v>45.851851851851848</v>
      </c>
      <c r="H63">
        <v>57.24074074074074</v>
      </c>
      <c r="I63">
        <v>43.092592592592588</v>
      </c>
      <c r="L63">
        <v>-5</v>
      </c>
      <c r="M63">
        <v>0.44444444444444442</v>
      </c>
      <c r="N63">
        <v>12.777777777777771</v>
      </c>
      <c r="O63">
        <v>11.888888888888886</v>
      </c>
      <c r="P63">
        <v>2.981481481481481</v>
      </c>
      <c r="Q63">
        <v>6.4629629629629619</v>
      </c>
      <c r="R63">
        <v>9.8518518518518476</v>
      </c>
      <c r="S63">
        <v>1.2407407407407405</v>
      </c>
      <c r="T63">
        <v>2.0925925925925881</v>
      </c>
      <c r="V63">
        <v>171.00005799999997</v>
      </c>
      <c r="W63">
        <v>37.777787333333336</v>
      </c>
      <c r="X63">
        <v>895.11131133333333</v>
      </c>
      <c r="Y63">
        <v>1123.555796666667</v>
      </c>
      <c r="Z63">
        <v>238.92597944444441</v>
      </c>
      <c r="AA63">
        <v>415.35194188888886</v>
      </c>
      <c r="AB63">
        <v>420.4074955555555</v>
      </c>
      <c r="AC63">
        <v>120.71299422222222</v>
      </c>
      <c r="AD63">
        <v>208.12042077777775</v>
      </c>
    </row>
    <row r="64" spans="1:48" x14ac:dyDescent="0.45">
      <c r="A64">
        <v>14</v>
      </c>
      <c r="B64">
        <v>0.44444444444444442</v>
      </c>
      <c r="C64">
        <v>168.77777777777777</v>
      </c>
      <c r="D64">
        <v>63.888888888888886</v>
      </c>
      <c r="E64">
        <v>38.981481481481481</v>
      </c>
      <c r="F64">
        <v>73.462962962962962</v>
      </c>
      <c r="G64">
        <v>45.851851851851848</v>
      </c>
      <c r="H64">
        <v>57.24074074074074</v>
      </c>
      <c r="I64">
        <v>43.092592592592588</v>
      </c>
      <c r="L64">
        <v>-6</v>
      </c>
      <c r="M64">
        <v>0.44444444444444442</v>
      </c>
      <c r="N64">
        <v>16.777777777777771</v>
      </c>
      <c r="O64">
        <v>18.888888888888886</v>
      </c>
      <c r="P64">
        <v>4.981481481481481</v>
      </c>
      <c r="Q64">
        <v>7.4629629629629619</v>
      </c>
      <c r="R64">
        <v>5.8518518518518476</v>
      </c>
      <c r="S64">
        <v>2.2407407407407405</v>
      </c>
      <c r="T64">
        <v>5.0925925925925881</v>
      </c>
      <c r="V64">
        <v>86.000008999999977</v>
      </c>
      <c r="W64">
        <v>9.1111127777777785</v>
      </c>
      <c r="X64">
        <v>286.94450311111115</v>
      </c>
      <c r="Y64">
        <v>379.72230155555553</v>
      </c>
      <c r="Z64">
        <v>75.120384092592602</v>
      </c>
      <c r="AA64">
        <v>112.7407656851852</v>
      </c>
      <c r="AB64">
        <v>120.71298824074074</v>
      </c>
      <c r="AC64">
        <v>88.185205796296287</v>
      </c>
      <c r="AD64">
        <v>83.898165537037031</v>
      </c>
    </row>
    <row r="65" spans="1:30" x14ac:dyDescent="0.45">
      <c r="A65">
        <v>14</v>
      </c>
      <c r="B65">
        <v>0.44444444444444442</v>
      </c>
      <c r="C65">
        <v>168.77777777777777</v>
      </c>
      <c r="D65">
        <v>63.888888888888886</v>
      </c>
      <c r="E65">
        <v>38.981481481481481</v>
      </c>
      <c r="F65">
        <v>73.462962962962962</v>
      </c>
      <c r="G65">
        <v>45.851851851851848</v>
      </c>
      <c r="H65">
        <v>57.24074074074074</v>
      </c>
      <c r="I65">
        <v>43.092592592592588</v>
      </c>
      <c r="L65">
        <v>-7</v>
      </c>
      <c r="M65">
        <v>-0.55555555555555558</v>
      </c>
      <c r="N65">
        <v>-12.222222222222229</v>
      </c>
      <c r="O65">
        <v>-16.111111111111114</v>
      </c>
      <c r="P65">
        <v>-4.018518518518519</v>
      </c>
      <c r="Q65">
        <v>-2.5370370370370381</v>
      </c>
      <c r="R65">
        <v>-3.1481481481481524</v>
      </c>
      <c r="S65">
        <v>0.24074074074074048</v>
      </c>
      <c r="T65">
        <v>-2.9074074074074119</v>
      </c>
      <c r="V65">
        <v>21.999981999999996</v>
      </c>
      <c r="W65">
        <v>30.388902888888897</v>
      </c>
      <c r="X65">
        <v>706.05580055555561</v>
      </c>
      <c r="Y65">
        <v>754.77800077777795</v>
      </c>
      <c r="Z65">
        <v>200.04636596296294</v>
      </c>
      <c r="AA65">
        <v>311.34269292592597</v>
      </c>
      <c r="AB65">
        <v>208.12044020370374</v>
      </c>
      <c r="AC65">
        <v>83.898175481481474</v>
      </c>
      <c r="AD65">
        <v>259.01861568518518</v>
      </c>
    </row>
    <row r="66" spans="1:30" x14ac:dyDescent="0.45">
      <c r="A66">
        <v>14</v>
      </c>
      <c r="B66">
        <v>0.44444444444444442</v>
      </c>
      <c r="C66">
        <v>168.77777777777777</v>
      </c>
      <c r="D66">
        <v>63.888888888888886</v>
      </c>
      <c r="E66">
        <v>38.981481481481481</v>
      </c>
      <c r="F66">
        <v>73.462962962962962</v>
      </c>
      <c r="G66">
        <v>45.851851851851848</v>
      </c>
      <c r="H66">
        <v>57.24074074074074</v>
      </c>
      <c r="I66">
        <v>43.092592592592588</v>
      </c>
      <c r="L66">
        <v>-8</v>
      </c>
      <c r="M66">
        <v>-0.55555555555555558</v>
      </c>
      <c r="N66">
        <v>-4.2222222222222285</v>
      </c>
      <c r="O66">
        <v>-5.1111111111111143</v>
      </c>
      <c r="P66">
        <v>-2.018518518518519</v>
      </c>
      <c r="Q66">
        <v>-0.53703703703703809</v>
      </c>
      <c r="R66">
        <v>-2.1481481481481524</v>
      </c>
      <c r="S66">
        <v>1.2407407407407405</v>
      </c>
      <c r="T66">
        <v>-0.90740740740741188</v>
      </c>
    </row>
    <row r="67" spans="1:30" x14ac:dyDescent="0.45">
      <c r="A67">
        <v>14</v>
      </c>
      <c r="B67">
        <v>0.44444444444444442</v>
      </c>
      <c r="C67">
        <v>168.77777777777777</v>
      </c>
      <c r="D67">
        <v>63.888888888888886</v>
      </c>
      <c r="E67">
        <v>38.981481481481481</v>
      </c>
      <c r="F67">
        <v>73.462962962962962</v>
      </c>
      <c r="G67">
        <v>45.851851851851848</v>
      </c>
      <c r="H67">
        <v>57.24074074074074</v>
      </c>
      <c r="I67">
        <v>43.092592592592588</v>
      </c>
      <c r="L67">
        <v>-9</v>
      </c>
      <c r="M67">
        <v>0.44444444444444442</v>
      </c>
      <c r="N67">
        <v>13.777777777777771</v>
      </c>
      <c r="O67">
        <v>10.888888888888886</v>
      </c>
      <c r="P67">
        <v>2.981481481481481</v>
      </c>
      <c r="Q67">
        <v>6.4629629629629619</v>
      </c>
      <c r="R67">
        <v>2.8518518518518476</v>
      </c>
      <c r="S67">
        <v>1.2407407407407405</v>
      </c>
      <c r="T67">
        <v>5.0925925925925881</v>
      </c>
      <c r="V67" s="11" cm="1">
        <f t="array" ref="V67:AD75">+B74*_xlfn.ANCHORARRAY(V57)</f>
        <v>63</v>
      </c>
      <c r="W67" s="9">
        <v>0.69230769230769229</v>
      </c>
      <c r="X67" s="9">
        <v>11.576923076923078</v>
      </c>
      <c r="Y67" s="9">
        <v>27.423076923076913</v>
      </c>
      <c r="Z67" s="9">
        <v>4.75</v>
      </c>
      <c r="AA67" s="9">
        <v>4.6153846153846159</v>
      </c>
      <c r="AB67" s="9">
        <v>6.5769230769230775</v>
      </c>
      <c r="AC67" s="9">
        <v>3.3076923076923079</v>
      </c>
      <c r="AD67" s="9">
        <v>0.84615384615384626</v>
      </c>
    </row>
    <row r="68" spans="1:30" x14ac:dyDescent="0.45">
      <c r="A68">
        <v>14</v>
      </c>
      <c r="B68">
        <v>0.44444444444444442</v>
      </c>
      <c r="C68">
        <v>168.77777777777777</v>
      </c>
      <c r="D68">
        <v>63.888888888888886</v>
      </c>
      <c r="E68">
        <v>38.981481481481481</v>
      </c>
      <c r="F68">
        <v>73.462962962962962</v>
      </c>
      <c r="G68">
        <v>45.851851851851848</v>
      </c>
      <c r="H68">
        <v>57.24074074074074</v>
      </c>
      <c r="I68">
        <v>43.092592592592588</v>
      </c>
      <c r="L68">
        <v>-10</v>
      </c>
      <c r="M68">
        <v>-0.55555555555555558</v>
      </c>
      <c r="N68">
        <v>-20.222222222222229</v>
      </c>
      <c r="O68">
        <v>-23.111111111111114</v>
      </c>
      <c r="P68">
        <v>-6.018518518518519</v>
      </c>
      <c r="Q68">
        <v>-8.5370370370370381</v>
      </c>
      <c r="R68">
        <v>-7.1481481481481524</v>
      </c>
      <c r="S68">
        <v>-3.7592592592592595</v>
      </c>
      <c r="T68">
        <v>-8.9074074074074119</v>
      </c>
      <c r="V68" s="9">
        <v>0.69231046153846143</v>
      </c>
      <c r="W68" s="11">
        <v>0.256411282051282</v>
      </c>
      <c r="X68" s="9">
        <v>4.0641188205128218</v>
      </c>
      <c r="Y68" s="9">
        <v>4.7820704102564111</v>
      </c>
      <c r="Z68" s="9">
        <v>1.2393211965811968</v>
      </c>
      <c r="AA68" s="9">
        <v>1.9786403931623935</v>
      </c>
      <c r="AB68" s="9">
        <v>1.4529972649572653</v>
      </c>
      <c r="AC68" s="9">
        <v>0.35042875213675218</v>
      </c>
      <c r="AD68" s="9">
        <v>1.1688080940170942</v>
      </c>
    </row>
    <row r="69" spans="1:30" x14ac:dyDescent="0.45">
      <c r="A69">
        <v>14</v>
      </c>
      <c r="B69">
        <v>0.44444444444444442</v>
      </c>
      <c r="C69">
        <v>168.77777777777777</v>
      </c>
      <c r="D69">
        <v>63.888888888888886</v>
      </c>
      <c r="E69">
        <v>38.981481481481481</v>
      </c>
      <c r="F69">
        <v>73.462962962962962</v>
      </c>
      <c r="G69">
        <v>45.851851851851848</v>
      </c>
      <c r="H69">
        <v>57.24074074074074</v>
      </c>
      <c r="I69">
        <v>43.092592592592588</v>
      </c>
      <c r="L69">
        <v>-11</v>
      </c>
      <c r="M69">
        <v>0.44444444444444442</v>
      </c>
      <c r="N69">
        <v>-1.2222222222222285</v>
      </c>
      <c r="O69">
        <v>-6.1111111111111143</v>
      </c>
      <c r="P69">
        <v>0.98148148148148096</v>
      </c>
      <c r="Q69">
        <v>0.46296296296296191</v>
      </c>
      <c r="R69">
        <v>0.85185185185184764</v>
      </c>
      <c r="S69">
        <v>1.2407407407407405</v>
      </c>
      <c r="T69">
        <v>9.2592592592588119E-2</v>
      </c>
      <c r="V69" s="9">
        <v>11.576912923076922</v>
      </c>
      <c r="W69" s="9">
        <v>4.0640998034188041</v>
      </c>
      <c r="X69" s="11">
        <v>103.94865021367524</v>
      </c>
      <c r="Y69" s="11">
        <v>108.35889399145302</v>
      </c>
      <c r="Z69" s="9">
        <v>27.091862537037045</v>
      </c>
      <c r="AA69" s="9">
        <v>45.856808458689464</v>
      </c>
      <c r="AB69" s="9">
        <v>34.427327219373225</v>
      </c>
      <c r="AC69" s="9">
        <v>11.03631671082621</v>
      </c>
      <c r="AD69" s="9">
        <v>27.155967199430201</v>
      </c>
    </row>
    <row r="70" spans="1:30" x14ac:dyDescent="0.45">
      <c r="A70">
        <v>14</v>
      </c>
      <c r="B70">
        <v>0.44444444444444442</v>
      </c>
      <c r="C70">
        <v>168.77777777777777</v>
      </c>
      <c r="D70">
        <v>63.888888888888886</v>
      </c>
      <c r="E70">
        <v>38.981481481481481</v>
      </c>
      <c r="F70">
        <v>73.462962962962962</v>
      </c>
      <c r="G70">
        <v>45.851851851851848</v>
      </c>
      <c r="H70">
        <v>57.24074074074074</v>
      </c>
      <c r="I70">
        <v>43.092592592592588</v>
      </c>
      <c r="L70">
        <v>-12</v>
      </c>
      <c r="M70">
        <v>-0.55555555555555558</v>
      </c>
      <c r="N70">
        <v>-1.2222222222222285</v>
      </c>
      <c r="O70">
        <v>-3.1111111111111143</v>
      </c>
      <c r="P70">
        <v>-1.018518518518519</v>
      </c>
      <c r="Q70">
        <v>-3.5370370370370381</v>
      </c>
      <c r="R70">
        <v>-0.64814814814815236</v>
      </c>
      <c r="S70">
        <v>-0.75925925925925952</v>
      </c>
      <c r="T70">
        <v>-1.4074074074074119</v>
      </c>
      <c r="V70" s="9">
        <v>27.423073500000005</v>
      </c>
      <c r="W70" s="9">
        <v>4.7820497905982906</v>
      </c>
      <c r="X70" s="9">
        <v>108.35893816239319</v>
      </c>
      <c r="Y70" s="11">
        <v>163.8717526581197</v>
      </c>
      <c r="Z70" s="9">
        <v>31.151699680199435</v>
      </c>
      <c r="AA70" s="9">
        <v>52.053404148860402</v>
      </c>
      <c r="AB70" s="9">
        <v>43.213662710826213</v>
      </c>
      <c r="AC70" s="9">
        <v>14.604696330484334</v>
      </c>
      <c r="AD70" s="9">
        <v>29.029906233618245</v>
      </c>
    </row>
    <row r="71" spans="1:30" x14ac:dyDescent="0.45">
      <c r="A71">
        <v>14</v>
      </c>
      <c r="B71">
        <v>0.44444444444444442</v>
      </c>
      <c r="C71">
        <v>168.77777777777777</v>
      </c>
      <c r="D71">
        <v>63.888888888888886</v>
      </c>
      <c r="E71">
        <v>38.981481481481481</v>
      </c>
      <c r="F71">
        <v>73.462962962962962</v>
      </c>
      <c r="G71">
        <v>45.851851851851848</v>
      </c>
      <c r="H71">
        <v>57.24074074074074</v>
      </c>
      <c r="I71">
        <v>43.092592592592588</v>
      </c>
      <c r="L71">
        <v>-13</v>
      </c>
      <c r="M71">
        <v>0.44444444444444442</v>
      </c>
      <c r="N71">
        <v>0.77777777777777146</v>
      </c>
      <c r="O71">
        <v>7.8888888888888857</v>
      </c>
      <c r="P71">
        <v>1.481481481481481</v>
      </c>
      <c r="Q71">
        <v>2.9629629629629619</v>
      </c>
      <c r="R71">
        <v>-2.1481481481481524</v>
      </c>
      <c r="S71">
        <v>-2.7592592592592595</v>
      </c>
      <c r="T71">
        <v>3.0925925925925881</v>
      </c>
      <c r="V71" s="9">
        <v>4.7500005769230755</v>
      </c>
      <c r="W71" s="9">
        <v>1.2393164615384618</v>
      </c>
      <c r="X71" s="9">
        <v>27.091884115384619</v>
      </c>
      <c r="Y71" s="9">
        <v>31.151713730769231</v>
      </c>
      <c r="Z71" s="11">
        <v>8.2015681923076915</v>
      </c>
      <c r="AA71" s="11">
        <v>12.09544348076923</v>
      </c>
      <c r="AB71" s="9">
        <v>9.1894598846153865</v>
      </c>
      <c r="AC71" s="9">
        <v>2.8892453269230773</v>
      </c>
      <c r="AD71" s="9">
        <v>7.6940894423076927</v>
      </c>
    </row>
    <row r="72" spans="1:30" x14ac:dyDescent="0.45">
      <c r="V72" s="9">
        <v>4.6153868076923077</v>
      </c>
      <c r="W72" s="9">
        <v>1.9786331324786322</v>
      </c>
      <c r="X72" s="9">
        <v>45.856850722222227</v>
      </c>
      <c r="Y72" s="9">
        <v>52.053433495726487</v>
      </c>
      <c r="Z72" s="9">
        <v>12.095445198005697</v>
      </c>
      <c r="AA72" s="11">
        <v>24.57550474216524</v>
      </c>
      <c r="AB72" s="9">
        <v>15.975076045584045</v>
      </c>
      <c r="AC72" s="9">
        <v>4.3361837336182347</v>
      </c>
      <c r="AD72" s="9">
        <v>11.974718606125357</v>
      </c>
    </row>
    <row r="73" spans="1:30" x14ac:dyDescent="0.45">
      <c r="V73" s="9">
        <v>6.5769253076923064</v>
      </c>
      <c r="W73" s="9">
        <v>1.4529918205128207</v>
      </c>
      <c r="X73" s="9">
        <v>34.427358128205128</v>
      </c>
      <c r="Y73" s="9">
        <v>43.213684487179499</v>
      </c>
      <c r="Z73" s="9">
        <v>9.1894607478632473</v>
      </c>
      <c r="AA73" s="9">
        <v>15.975074688034187</v>
      </c>
      <c r="AB73" s="11">
        <v>16.16951905982906</v>
      </c>
      <c r="AC73" s="9">
        <v>4.6428074700854705</v>
      </c>
      <c r="AD73" s="9">
        <v>8.0046315683760678</v>
      </c>
    </row>
    <row r="74" spans="1:30" x14ac:dyDescent="0.45">
      <c r="B74">
        <f>1/26</f>
        <v>3.8461538461538464E-2</v>
      </c>
      <c r="V74" s="9">
        <v>3.3076926538461531</v>
      </c>
      <c r="W74" s="9">
        <v>0.3504274145299146</v>
      </c>
      <c r="X74" s="9">
        <v>11.036327042735044</v>
      </c>
      <c r="Y74" s="9">
        <v>14.604703905982905</v>
      </c>
      <c r="Z74" s="9">
        <v>2.8892455420227927</v>
      </c>
      <c r="AA74" s="9">
        <v>4.3361832955840462</v>
      </c>
      <c r="AB74" s="9">
        <v>4.6428072400284908</v>
      </c>
      <c r="AC74" s="11">
        <v>3.3917386844729345</v>
      </c>
      <c r="AD74" s="9">
        <v>3.2268525206552705</v>
      </c>
    </row>
    <row r="75" spans="1:30" x14ac:dyDescent="0.45">
      <c r="V75" s="9">
        <v>0.84615315384615375</v>
      </c>
      <c r="W75" s="9">
        <v>1.1688039572649576</v>
      </c>
      <c r="X75" s="9">
        <v>27.155992329059831</v>
      </c>
      <c r="Y75" s="9">
        <v>29.029923106837614</v>
      </c>
      <c r="Z75" s="9">
        <v>7.6940909985754979</v>
      </c>
      <c r="AA75" s="9">
        <v>11.974718958689461</v>
      </c>
      <c r="AB75" s="9">
        <v>8.0046323155270667</v>
      </c>
      <c r="AC75" s="9">
        <v>3.2268529031339028</v>
      </c>
      <c r="AD75" s="11">
        <v>9.9622544494301994</v>
      </c>
    </row>
    <row r="76" spans="1:30" x14ac:dyDescent="0.45">
      <c r="L76" s="10">
        <f>+(1/V77)</f>
        <v>0.12598815766974239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30" x14ac:dyDescent="0.45">
      <c r="L77">
        <v>0</v>
      </c>
      <c r="M77" s="10">
        <f>+(1/W78)</f>
        <v>1.9748378161414675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 s="10">
        <f>+(V67)^(1/2)</f>
        <v>7.9372539331937721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45">
      <c r="L78">
        <v>0</v>
      </c>
      <c r="M78">
        <v>0</v>
      </c>
      <c r="N78" s="10">
        <f>+(1/X79)</f>
        <v>9.8082284521961688E-2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 s="10">
        <f>+(W68)^(1/2)</f>
        <v>0.5063706962801876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45">
      <c r="L79">
        <v>0</v>
      </c>
      <c r="M79">
        <v>0</v>
      </c>
      <c r="N79">
        <v>0</v>
      </c>
      <c r="O79" s="10">
        <f>+(1/Y80)</f>
        <v>7.8117430676567942E-2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 s="10">
        <f>+(X69)^(1/2)</f>
        <v>10.195521085931569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45">
      <c r="L80">
        <v>0</v>
      </c>
      <c r="M80">
        <v>0</v>
      </c>
      <c r="N80">
        <v>0</v>
      </c>
      <c r="O80">
        <v>0</v>
      </c>
      <c r="P80" s="10">
        <f>+(1/Z81)</f>
        <v>0.34918176020354297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 s="10">
        <f>+(Y70)^(1/2)</f>
        <v>12.801240278118355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2:30" x14ac:dyDescent="0.45">
      <c r="L81">
        <v>0</v>
      </c>
      <c r="M81">
        <v>0</v>
      </c>
      <c r="N81">
        <v>0</v>
      </c>
      <c r="O81">
        <v>0</v>
      </c>
      <c r="P81">
        <v>0</v>
      </c>
      <c r="Q81" s="10">
        <f>+(1/AA82)</f>
        <v>0.20171991516444335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 s="10">
        <f>+(Z71)^(1/2)</f>
        <v>2.8638380178193898</v>
      </c>
      <c r="AA81">
        <v>0</v>
      </c>
      <c r="AB81">
        <v>0</v>
      </c>
      <c r="AC81">
        <v>0</v>
      </c>
      <c r="AD81">
        <v>0</v>
      </c>
    </row>
    <row r="82" spans="12:30" x14ac:dyDescent="0.45"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 s="10">
        <f>+(1/AB83)</f>
        <v>0.24868606398146895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 s="10">
        <f>+(AA72)^(1/2)</f>
        <v>4.9573687317129478</v>
      </c>
      <c r="AB82">
        <v>0</v>
      </c>
      <c r="AC82">
        <v>0</v>
      </c>
      <c r="AD82">
        <v>0</v>
      </c>
    </row>
    <row r="83" spans="12:30" x14ac:dyDescent="0.45"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s="10">
        <f>+(1/AC84)</f>
        <v>0.54298621935345004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s="10">
        <f>+(AB73)^(1/2)</f>
        <v>4.0211340514622318</v>
      </c>
      <c r="AC83">
        <v>0</v>
      </c>
      <c r="AD83">
        <v>0</v>
      </c>
    </row>
    <row r="84" spans="12:30" x14ac:dyDescent="0.45"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 s="10">
        <f>+(1/AD85)</f>
        <v>0.31682627042335071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 s="10">
        <f>+(AC74)^(1/2)</f>
        <v>1.841667365316803</v>
      </c>
      <c r="AD84">
        <v>0</v>
      </c>
    </row>
    <row r="85" spans="12:30" x14ac:dyDescent="0.45"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 s="10">
        <f>+(AD75)^(1/2)</f>
        <v>3.1563039222214009</v>
      </c>
    </row>
    <row r="87" spans="12:30" x14ac:dyDescent="0.45">
      <c r="L87" cm="1">
        <f t="array" ref="L87:T95">+MMULT(L76:T84,_xlfn.ANCHORARRAY(V67))</f>
        <v>7.9372539331937704</v>
      </c>
      <c r="M87">
        <v>8.7222570694437035E-2</v>
      </c>
      <c r="N87">
        <v>1.4585552099458641</v>
      </c>
      <c r="O87">
        <v>3.4549829391740881</v>
      </c>
      <c r="P87">
        <v>0.59844374893127639</v>
      </c>
      <c r="Q87">
        <v>0.58148380462958027</v>
      </c>
      <c r="R87">
        <v>0.82861442159715193</v>
      </c>
      <c r="S87">
        <v>0.41673005998453255</v>
      </c>
      <c r="T87">
        <v>0.10660536418208973</v>
      </c>
    </row>
    <row r="88" spans="12:30" x14ac:dyDescent="0.45">
      <c r="L88">
        <v>1.3672008799565065</v>
      </c>
      <c r="M88">
        <v>0.5063706962801876</v>
      </c>
      <c r="N88">
        <v>8.0259755360409777</v>
      </c>
      <c r="O88">
        <v>9.4438134856255029</v>
      </c>
      <c r="P88">
        <v>2.4474583653542408</v>
      </c>
      <c r="Q88">
        <v>3.9074938729621156</v>
      </c>
      <c r="R88">
        <v>2.8694339455877311</v>
      </c>
      <c r="S88">
        <v>0.69203995158292331</v>
      </c>
      <c r="T88">
        <v>2.3082064238771891</v>
      </c>
    </row>
    <row r="89" spans="12:30" x14ac:dyDescent="0.45">
      <c r="L89">
        <v>1.1354900672072057</v>
      </c>
      <c r="M89">
        <v>0.3986161932445717</v>
      </c>
      <c r="N89">
        <v>10.195521085931569</v>
      </c>
      <c r="O89">
        <v>10.628087870954779</v>
      </c>
      <c r="P89">
        <v>2.6572317695875425</v>
      </c>
      <c r="Q89">
        <v>4.4977405345142794</v>
      </c>
      <c r="R89">
        <v>3.3767109036612406</v>
      </c>
      <c r="S89">
        <v>1.0824671557057366</v>
      </c>
      <c r="T89">
        <v>2.6635193013235723</v>
      </c>
    </row>
    <row r="90" spans="12:30" x14ac:dyDescent="0.45">
      <c r="L90">
        <v>2.1422200430746776</v>
      </c>
      <c r="M90">
        <v>0.37356144300895822</v>
      </c>
      <c r="N90">
        <v>8.4647218400872628</v>
      </c>
      <c r="O90">
        <v>12.801240278118355</v>
      </c>
      <c r="P90">
        <v>2.4334907402252433</v>
      </c>
      <c r="Q90">
        <v>4.066278190077977</v>
      </c>
      <c r="R90">
        <v>3.3757403010935558</v>
      </c>
      <c r="S90">
        <v>1.1408813531489361</v>
      </c>
      <c r="T90">
        <v>2.2677416877519407</v>
      </c>
    </row>
    <row r="91" spans="12:30" x14ac:dyDescent="0.45">
      <c r="L91">
        <v>1.6586135624178442</v>
      </c>
      <c r="M91">
        <v>0.43274670348922656</v>
      </c>
      <c r="N91">
        <v>9.4599917826404063</v>
      </c>
      <c r="O91">
        <v>10.877610233866879</v>
      </c>
      <c r="P91">
        <v>2.8638380178193898</v>
      </c>
      <c r="Q91">
        <v>4.2235082450574684</v>
      </c>
      <c r="R91">
        <v>3.2087917778298474</v>
      </c>
      <c r="S91">
        <v>1.0088717689148612</v>
      </c>
      <c r="T91">
        <v>2.6866356946284964</v>
      </c>
    </row>
    <row r="92" spans="12:30" x14ac:dyDescent="0.45">
      <c r="L92">
        <v>0.93101543529878328</v>
      </c>
      <c r="M92">
        <v>0.39912970762514649</v>
      </c>
      <c r="N92">
        <v>9.2502400373952103</v>
      </c>
      <c r="O92">
        <v>10.50021418877594</v>
      </c>
      <c r="P92">
        <v>2.4398921792178827</v>
      </c>
      <c r="Q92">
        <v>4.9573687317129478</v>
      </c>
      <c r="R92">
        <v>3.2224909846607446</v>
      </c>
      <c r="S92">
        <v>0.87469461488290956</v>
      </c>
      <c r="T92">
        <v>2.4155392213456883</v>
      </c>
    </row>
    <row r="93" spans="12:30" x14ac:dyDescent="0.45">
      <c r="L93">
        <v>1.6355896678701112</v>
      </c>
      <c r="M93">
        <v>0.36133881684060237</v>
      </c>
      <c r="N93">
        <v>8.5616041861837662</v>
      </c>
      <c r="O93">
        <v>10.746641105253733</v>
      </c>
      <c r="P93">
        <v>2.2852908234983169</v>
      </c>
      <c r="Q93">
        <v>3.9727784459772151</v>
      </c>
      <c r="R93">
        <v>4.0211340514622309</v>
      </c>
      <c r="S93">
        <v>1.1546015155593172</v>
      </c>
      <c r="T93">
        <v>1.9906403183612569</v>
      </c>
    </row>
    <row r="94" spans="12:30" x14ac:dyDescent="0.45">
      <c r="L94">
        <v>1.7960315288951025</v>
      </c>
      <c r="M94">
        <v>0.19027725697340259</v>
      </c>
      <c r="N94">
        <v>5.9925734964829429</v>
      </c>
      <c r="O94">
        <v>7.9301529586862225</v>
      </c>
      <c r="P94">
        <v>1.5688205136467657</v>
      </c>
      <c r="Q94">
        <v>2.3544877740927648</v>
      </c>
      <c r="R94">
        <v>2.520980350449896</v>
      </c>
      <c r="S94">
        <v>1.841667365316803</v>
      </c>
      <c r="T94">
        <v>1.7521364506017558</v>
      </c>
    </row>
    <row r="95" spans="12:30" x14ac:dyDescent="0.45">
      <c r="L95">
        <v>0.26808354794003258</v>
      </c>
      <c r="M95">
        <v>0.37030779863630991</v>
      </c>
      <c r="N95">
        <v>8.603731769261147</v>
      </c>
      <c r="O95">
        <v>9.1974422686160118</v>
      </c>
      <c r="P95">
        <v>2.4376901553765493</v>
      </c>
      <c r="Q95">
        <v>3.7939055470493721</v>
      </c>
      <c r="R95">
        <v>2.5360778026386703</v>
      </c>
      <c r="S95">
        <v>1.0223517705046763</v>
      </c>
      <c r="T95">
        <v>3.1563039222214013</v>
      </c>
    </row>
    <row r="98" spans="12:20" x14ac:dyDescent="0.45">
      <c r="L98" cm="1">
        <f t="array" ref="L98:T106">+MMULT(_xlfn.ANCHORARRAY(L87),L76:T84)</f>
        <v>0.99999999999999967</v>
      </c>
      <c r="M98">
        <v>0.17225043102844678</v>
      </c>
      <c r="N98">
        <v>0.14305842709289981</v>
      </c>
      <c r="O98">
        <v>0.26989439023965678</v>
      </c>
      <c r="P98">
        <v>0.20896564163463022</v>
      </c>
      <c r="Q98">
        <v>0.11729686373937669</v>
      </c>
      <c r="R98">
        <v>0.20606485906527722</v>
      </c>
      <c r="S98">
        <v>0.22627867976193777</v>
      </c>
      <c r="T98">
        <v>3.3775379940934547E-2</v>
      </c>
    </row>
    <row r="99" spans="12:20" x14ac:dyDescent="0.45">
      <c r="L99">
        <v>0.17225112003017087</v>
      </c>
      <c r="M99">
        <v>1</v>
      </c>
      <c r="N99">
        <v>0.78720601609227514</v>
      </c>
      <c r="O99">
        <v>0.73772644528578768</v>
      </c>
      <c r="P99">
        <v>0.85460782003927971</v>
      </c>
      <c r="Q99">
        <v>0.78821933255950016</v>
      </c>
      <c r="R99">
        <v>0.71358823378302938</v>
      </c>
      <c r="S99">
        <v>0.37576815695155613</v>
      </c>
      <c r="T99">
        <v>0.73130043264422961</v>
      </c>
    </row>
    <row r="100" spans="12:20" x14ac:dyDescent="0.45">
      <c r="L100">
        <v>0.14305830161972782</v>
      </c>
      <c r="M100">
        <v>0.78720233254573513</v>
      </c>
      <c r="N100">
        <v>0.99999999999999989</v>
      </c>
      <c r="O100">
        <v>0.83023891748378253</v>
      </c>
      <c r="P100">
        <v>0.92785686657335342</v>
      </c>
      <c r="Q100">
        <v>0.90728383905389853</v>
      </c>
      <c r="R100">
        <v>0.83974094383482312</v>
      </c>
      <c r="S100">
        <v>0.58776474845094029</v>
      </c>
      <c r="T100">
        <v>0.8438728864389563</v>
      </c>
    </row>
    <row r="101" spans="12:20" x14ac:dyDescent="0.45">
      <c r="L101">
        <v>0.2698943565501748</v>
      </c>
      <c r="M101">
        <v>0.73772326430646629</v>
      </c>
      <c r="N101">
        <v>0.83023925591870196</v>
      </c>
      <c r="O101">
        <v>0.99999999999999989</v>
      </c>
      <c r="P101">
        <v>0.84973058011087321</v>
      </c>
      <c r="Q101">
        <v>0.82024929153755577</v>
      </c>
      <c r="R101">
        <v>0.83949956850257523</v>
      </c>
      <c r="S101">
        <v>0.61948285267718917</v>
      </c>
      <c r="T101">
        <v>0.71848014121400217</v>
      </c>
    </row>
    <row r="102" spans="12:20" x14ac:dyDescent="0.45">
      <c r="L102">
        <v>0.20896566701507246</v>
      </c>
      <c r="M102">
        <v>0.85460455486108333</v>
      </c>
      <c r="N102">
        <v>0.92785760560035591</v>
      </c>
      <c r="O102">
        <v>0.84973096337082188</v>
      </c>
      <c r="P102">
        <v>1</v>
      </c>
      <c r="Q102">
        <v>0.85196572488931954</v>
      </c>
      <c r="R102">
        <v>0.79798179736460495</v>
      </c>
      <c r="S102">
        <v>0.54780346761550802</v>
      </c>
      <c r="T102">
        <v>0.85119676711539471</v>
      </c>
    </row>
    <row r="103" spans="12:20" x14ac:dyDescent="0.45">
      <c r="L103">
        <v>0.11729691945538695</v>
      </c>
      <c r="M103">
        <v>0.78821644016362669</v>
      </c>
      <c r="N103">
        <v>0.9072846752442385</v>
      </c>
      <c r="O103">
        <v>0.82024975398081956</v>
      </c>
      <c r="P103">
        <v>0.85196584584615864</v>
      </c>
      <c r="Q103">
        <v>0.99999999999999989</v>
      </c>
      <c r="R103">
        <v>0.80138859919104877</v>
      </c>
      <c r="S103">
        <v>0.47494712202409306</v>
      </c>
      <c r="T103">
        <v>0.76530628256027911</v>
      </c>
    </row>
    <row r="104" spans="12:20" x14ac:dyDescent="0.45">
      <c r="L104">
        <v>0.20606492895862116</v>
      </c>
      <c r="M104">
        <v>0.71358555993663686</v>
      </c>
      <c r="N104">
        <v>0.83974169775369445</v>
      </c>
      <c r="O104">
        <v>0.83949999154561394</v>
      </c>
      <c r="P104">
        <v>0.79798187232614648</v>
      </c>
      <c r="Q104">
        <v>0.80138853108965291</v>
      </c>
      <c r="R104">
        <v>0.99999999999999978</v>
      </c>
      <c r="S104">
        <v>0.62693271179331733</v>
      </c>
      <c r="T104">
        <v>0.63068714782074853</v>
      </c>
    </row>
    <row r="105" spans="12:20" x14ac:dyDescent="0.45">
      <c r="L105">
        <v>0.22627870344226467</v>
      </c>
      <c r="M105">
        <v>0.37576672262274319</v>
      </c>
      <c r="N105">
        <v>0.58776529870080674</v>
      </c>
      <c r="O105">
        <v>0.61948317400475117</v>
      </c>
      <c r="P105">
        <v>0.54780350839860403</v>
      </c>
      <c r="Q105">
        <v>0.47494707404571157</v>
      </c>
      <c r="R105">
        <v>0.6269326807280089</v>
      </c>
      <c r="S105">
        <v>1</v>
      </c>
      <c r="T105">
        <v>0.55512285691696173</v>
      </c>
    </row>
    <row r="106" spans="12:20" x14ac:dyDescent="0.45">
      <c r="L106">
        <v>3.3775352306532766E-2</v>
      </c>
      <c r="M106">
        <v>0.73129784435908451</v>
      </c>
      <c r="N106">
        <v>0.84387366734331259</v>
      </c>
      <c r="O106">
        <v>0.71848055882034711</v>
      </c>
      <c r="P106">
        <v>0.85119693928523166</v>
      </c>
      <c r="Q106">
        <v>0.76530630509271036</v>
      </c>
      <c r="R106">
        <v>0.63068720668898359</v>
      </c>
      <c r="S106">
        <v>0.55512292271564012</v>
      </c>
      <c r="T106">
        <v>1.0000000000000002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MEDIFIS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keyci carrillo</cp:lastModifiedBy>
  <cp:revision>0</cp:revision>
  <dcterms:created xsi:type="dcterms:W3CDTF">2026-08-13T00:24:56Z</dcterms:created>
  <dcterms:modified xsi:type="dcterms:W3CDTF">2026-08-14T02:50:00Z</dcterms:modified>
  <dc:language>en-US</dc:language>
</cp:coreProperties>
</file>