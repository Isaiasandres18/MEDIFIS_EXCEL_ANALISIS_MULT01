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42db9a084be05/Desktop/"/>
    </mc:Choice>
  </mc:AlternateContent>
  <xr:revisionPtr revIDLastSave="0" documentId="8_{FA2632E3-CB34-4692-96F9-807D758897D5}" xr6:coauthVersionLast="47" xr6:coauthVersionMax="47" xr10:uidLastSave="{00000000-0000-0000-0000-000000000000}"/>
  <bookViews>
    <workbookView xWindow="-120" yWindow="-120" windowWidth="20730" windowHeight="11040" xr2:uid="{BC126B4C-9B62-4A9A-B66A-2639DEB297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Y56" i="1" l="1" a="1"/>
  <c r="AY56" i="1" s="1"/>
  <c r="AP56" i="1" a="1"/>
  <c r="AP56" i="1" s="1"/>
  <c r="BF52" i="1"/>
  <c r="BE51" i="1"/>
  <c r="BD50" i="1"/>
  <c r="BC49" i="1"/>
  <c r="BB48" i="1"/>
  <c r="BA47" i="1"/>
  <c r="AZ46" i="1"/>
  <c r="AY45" i="1"/>
  <c r="AW52" i="1"/>
  <c r="AV51" i="1"/>
  <c r="AU50" i="1"/>
  <c r="AT49" i="1"/>
  <c r="AS48" i="1"/>
  <c r="AR47" i="1"/>
  <c r="AQ46" i="1"/>
  <c r="AP45" i="1"/>
  <c r="AP35" i="1" a="1"/>
  <c r="AP35" i="1" s="1"/>
  <c r="AN35" i="1"/>
  <c r="AE35" i="1" a="1"/>
  <c r="AE35" i="1" s="1"/>
  <c r="M25" i="1" a="1"/>
  <c r="M25" i="1" s="1"/>
  <c r="V25" i="1" s="1" a="1"/>
  <c r="V25" i="1" s="1"/>
  <c r="AE25" i="1" s="1" a="1"/>
  <c r="AE25" i="1" s="1"/>
  <c r="R14" i="1" a="1"/>
  <c r="R14" i="1" s="1"/>
  <c r="P14" i="1" a="1"/>
  <c r="P14" i="1" s="1"/>
  <c r="M16" i="1"/>
  <c r="C32" i="1"/>
  <c r="D32" i="1"/>
  <c r="E32" i="1"/>
  <c r="F32" i="1"/>
  <c r="G32" i="1"/>
  <c r="H32" i="1"/>
  <c r="I32" i="1"/>
  <c r="B32" i="1"/>
  <c r="C31" i="1"/>
  <c r="D31" i="1"/>
  <c r="E31" i="1"/>
  <c r="F31" i="1"/>
  <c r="G31" i="1"/>
  <c r="H31" i="1"/>
  <c r="I31" i="1"/>
  <c r="B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 Baltodano</author>
  </authors>
  <commentList>
    <comment ref="K3" authorId="0" shapeId="0" xr:uid="{BDB1EDF7-A74B-48C1-BD51-BB3AD09C0104}">
      <text>
        <r>
          <rPr>
            <b/>
            <sz val="9"/>
            <color indexed="81"/>
            <rFont val="Tahoma"/>
            <family val="2"/>
          </rPr>
          <t>Jonatha Baltodano:</t>
        </r>
        <r>
          <rPr>
            <sz val="9"/>
            <color indexed="81"/>
            <rFont val="Tahoma"/>
            <family val="2"/>
          </rPr>
          <t xml:space="preserve">
Para transponer la matriz tenemos que seleccionarla primero, luego en una celda en balnco tenemos que dar click derecho, nos vamos a pegar y le damos pegado especial, luego, nuevamente pegado especial y por último le damos solamente a transponer y listo
</t>
        </r>
      </text>
    </comment>
    <comment ref="M13" authorId="0" shapeId="0" xr:uid="{994FA94B-4FF5-440C-8CB2-5B9799A27944}">
      <text>
        <r>
          <rPr>
            <b/>
            <sz val="9"/>
            <color indexed="81"/>
            <rFont val="Tahoma"/>
            <family val="2"/>
          </rPr>
          <t>Jonatha Baltodano:</t>
        </r>
        <r>
          <rPr>
            <sz val="9"/>
            <color indexed="81"/>
            <rFont val="Tahoma"/>
            <family val="2"/>
          </rPr>
          <t xml:space="preserve">
Es un vector que está compuesto solamente de numeros 1, y va en funcion a la cantidad de filas de la matriz, es decir, seran tantos 1 como numero de filas tenga la matriz original</t>
        </r>
      </text>
    </comment>
    <comment ref="N15" authorId="0" shapeId="0" xr:uid="{0CB93440-DEFC-498F-B39A-ADA05E605B70}">
      <text>
        <r>
          <rPr>
            <b/>
            <sz val="9"/>
            <color indexed="81"/>
            <rFont val="Tahoma"/>
            <family val="2"/>
          </rPr>
          <t>Jonatha Baltodano:</t>
        </r>
        <r>
          <rPr>
            <sz val="9"/>
            <color indexed="81"/>
            <rFont val="Tahoma"/>
            <family val="2"/>
          </rPr>
          <t xml:space="preserve">
Resulta de la division de 1/n, es decir, uno entre en total de resgistros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<sst xmlns="http://schemas.openxmlformats.org/spreadsheetml/2006/main" count="44" uniqueCount="36">
  <si>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Datos de estudiantes de españoles</t>
  </si>
  <si>
    <t>Obs</t>
  </si>
  <si>
    <t>Est</t>
  </si>
  <si>
    <t>Pes</t>
  </si>
  <si>
    <t>Pie</t>
  </si>
  <si>
    <t>Bra</t>
  </si>
  <si>
    <t>Esp</t>
  </si>
  <si>
    <t>Crá</t>
  </si>
  <si>
    <t>lrt</t>
  </si>
  <si>
    <t>Sex</t>
  </si>
  <si>
    <t>Prom</t>
  </si>
  <si>
    <t>Var</t>
  </si>
  <si>
    <t>Transpuesta de la matriz de los estudiantes españoles</t>
  </si>
  <si>
    <t>x1</t>
  </si>
  <si>
    <t>x2</t>
  </si>
  <si>
    <t>x3</t>
  </si>
  <si>
    <t>x4</t>
  </si>
  <si>
    <t>x5</t>
  </si>
  <si>
    <t>x6</t>
  </si>
  <si>
    <t>x7</t>
  </si>
  <si>
    <t>x8</t>
  </si>
  <si>
    <t>Vector de media uno</t>
  </si>
  <si>
    <t>X' * 1/n</t>
  </si>
  <si>
    <t>Calculo de medias por matriz</t>
  </si>
  <si>
    <t>Matriz de medias</t>
  </si>
  <si>
    <t>Estandarización de la matriz (matriz cetrada)</t>
  </si>
  <si>
    <t>Trasnspuesta de la matriz centrada</t>
  </si>
  <si>
    <t>Transpuesta de la matriz centrada por la matriz centrada</t>
  </si>
  <si>
    <t xml:space="preserve">Escalar #1 </t>
  </si>
  <si>
    <t>Escalar #2</t>
  </si>
  <si>
    <t>Matriz de covariznza</t>
  </si>
  <si>
    <t>^</t>
  </si>
  <si>
    <t>Matriz de variacion std</t>
  </si>
  <si>
    <t>1/std</t>
  </si>
  <si>
    <t>1/std * mtr de covarianza</t>
  </si>
  <si>
    <t>Matriz de correlacion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</si>
</sst>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3" borderId="3" xfId="0" applyFont="1" applyFill="1" applyBorder="1"/>
    <xf numFmtId="0" fontId="1" fillId="0" borderId="3" xfId="0" applyFont="1" applyBorder="1"/>
    <xf numFmtId="0" fontId="1" fillId="2" borderId="2" xfId="0" applyFont="1" applyFill="1" applyBorder="1"/>
    <xf numFmtId="2" fontId="1" fillId="0" borderId="2" xfId="0" applyNumberFormat="1" applyFont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2" fontId="1" fillId="0" borderId="0" xfId="0" applyNumberFormat="1" applyFont="1" applyBorder="1"/>
    <xf numFmtId="0" fontId="1" fillId="0" borderId="0" xfId="0" applyFont="1" applyFill="1" applyBorder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4" xfId="0" applyFont="1" applyFill="1" applyBorder="1"/>
    <xf numFmtId="0" fontId="1" fillId="5" borderId="5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8478-0A1B-4DDB-9F76-51F513E0C81A}">
  <dimension ref="A1:BF63"/>
  <sheetViews>
    <sheetView tabSelected="1" topLeftCell="M14" zoomScale="47" zoomScaleNormal="52" workbookViewId="0">
      <selection activeCell="AY57" sqref="AY57"/>
    </sheetView>
  </sheetViews>
  <sheetFormatPr baseColWidth="10" defaultRowHeight="14.25" x14ac:dyDescent="0.2"/>
  <cols>
    <col min="1" max="10" width="7.28515625" style="1" customWidth="1"/>
    <col min="11" max="16384" width="11.42578125" style="1"/>
  </cols>
  <sheetData>
    <row r="1" spans="1:38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14"/>
      <c r="L1" s="17" t="s">
        <v>12</v>
      </c>
      <c r="M1" s="17"/>
      <c r="N1" s="17"/>
      <c r="O1" s="17"/>
      <c r="P1" s="17"/>
    </row>
    <row r="2" spans="1:38" x14ac:dyDescent="0.2">
      <c r="A2" s="10"/>
      <c r="B2" s="10" t="s">
        <v>13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4"/>
    </row>
    <row r="3" spans="1:38" x14ac:dyDescent="0.2">
      <c r="A3" s="2" t="s">
        <v>1</v>
      </c>
      <c r="B3" s="2" t="s">
        <v>9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1"/>
    </row>
    <row r="4" spans="1:38" x14ac:dyDescent="0.2">
      <c r="A4" s="3">
        <v>1</v>
      </c>
      <c r="B4" s="4">
        <v>0</v>
      </c>
      <c r="C4" s="4">
        <v>159</v>
      </c>
      <c r="D4" s="4">
        <v>49</v>
      </c>
      <c r="E4" s="4">
        <v>36</v>
      </c>
      <c r="F4" s="4">
        <v>68</v>
      </c>
      <c r="G4" s="4">
        <v>42</v>
      </c>
      <c r="H4" s="4">
        <v>57</v>
      </c>
      <c r="I4" s="4">
        <v>40</v>
      </c>
      <c r="J4" s="12"/>
      <c r="K4" s="18" t="s">
        <v>13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1</v>
      </c>
      <c r="U4" s="4">
        <v>0</v>
      </c>
      <c r="V4" s="4">
        <v>0</v>
      </c>
      <c r="W4" s="4">
        <v>1</v>
      </c>
      <c r="X4" s="4">
        <v>0</v>
      </c>
      <c r="Y4" s="4">
        <v>1</v>
      </c>
      <c r="Z4" s="4">
        <v>1</v>
      </c>
      <c r="AA4" s="4">
        <v>1</v>
      </c>
      <c r="AB4" s="4">
        <v>1</v>
      </c>
      <c r="AC4" s="4">
        <v>0</v>
      </c>
      <c r="AD4" s="4">
        <v>0</v>
      </c>
      <c r="AE4" s="4">
        <v>0</v>
      </c>
      <c r="AF4" s="4">
        <v>1</v>
      </c>
      <c r="AG4" s="4">
        <v>1</v>
      </c>
      <c r="AH4" s="4">
        <v>0</v>
      </c>
      <c r="AI4" s="4">
        <v>1</v>
      </c>
      <c r="AJ4" s="4">
        <v>0</v>
      </c>
      <c r="AK4" s="4">
        <v>1</v>
      </c>
      <c r="AL4" s="4">
        <v>0</v>
      </c>
    </row>
    <row r="5" spans="1:38" x14ac:dyDescent="0.2">
      <c r="A5" s="3">
        <v>2</v>
      </c>
      <c r="B5" s="4">
        <v>1</v>
      </c>
      <c r="C5" s="4">
        <v>164</v>
      </c>
      <c r="D5" s="4">
        <v>62</v>
      </c>
      <c r="E5" s="4">
        <v>39</v>
      </c>
      <c r="F5" s="4">
        <v>73</v>
      </c>
      <c r="G5" s="4">
        <v>44</v>
      </c>
      <c r="H5" s="4">
        <v>55</v>
      </c>
      <c r="I5" s="4">
        <v>44</v>
      </c>
      <c r="J5" s="12"/>
      <c r="K5" s="18" t="s">
        <v>14</v>
      </c>
      <c r="L5" s="4">
        <v>159</v>
      </c>
      <c r="M5" s="4">
        <v>164</v>
      </c>
      <c r="N5" s="4">
        <v>172</v>
      </c>
      <c r="O5" s="4">
        <v>167</v>
      </c>
      <c r="P5" s="4">
        <v>164</v>
      </c>
      <c r="Q5" s="4">
        <v>161</v>
      </c>
      <c r="R5" s="4">
        <v>168</v>
      </c>
      <c r="S5" s="4">
        <v>181</v>
      </c>
      <c r="T5" s="4">
        <v>183</v>
      </c>
      <c r="U5" s="4">
        <v>158</v>
      </c>
      <c r="V5" s="4">
        <v>156</v>
      </c>
      <c r="W5" s="4">
        <v>173</v>
      </c>
      <c r="X5" s="4">
        <v>158</v>
      </c>
      <c r="Y5" s="4">
        <v>178</v>
      </c>
      <c r="Z5" s="4">
        <v>181</v>
      </c>
      <c r="AA5" s="4">
        <v>182</v>
      </c>
      <c r="AB5" s="4">
        <v>176</v>
      </c>
      <c r="AC5" s="4">
        <v>162</v>
      </c>
      <c r="AD5" s="4">
        <v>156</v>
      </c>
      <c r="AE5" s="4">
        <v>152</v>
      </c>
      <c r="AF5" s="4">
        <v>181</v>
      </c>
      <c r="AG5" s="4">
        <v>173</v>
      </c>
      <c r="AH5" s="4">
        <v>155</v>
      </c>
      <c r="AI5" s="4">
        <v>189</v>
      </c>
      <c r="AJ5" s="4">
        <v>170</v>
      </c>
      <c r="AK5" s="4">
        <v>170</v>
      </c>
      <c r="AL5" s="4">
        <v>168</v>
      </c>
    </row>
    <row r="6" spans="1:38" x14ac:dyDescent="0.2">
      <c r="A6" s="3">
        <v>3</v>
      </c>
      <c r="B6" s="4">
        <v>0</v>
      </c>
      <c r="C6" s="4">
        <v>172</v>
      </c>
      <c r="D6" s="4">
        <v>65</v>
      </c>
      <c r="E6" s="4">
        <v>38</v>
      </c>
      <c r="F6" s="4">
        <v>75</v>
      </c>
      <c r="G6" s="4">
        <v>48</v>
      </c>
      <c r="H6" s="4">
        <v>58</v>
      </c>
      <c r="I6" s="4">
        <v>44</v>
      </c>
      <c r="J6" s="12"/>
      <c r="K6" s="19" t="s">
        <v>15</v>
      </c>
      <c r="L6" s="4">
        <v>49</v>
      </c>
      <c r="M6" s="4">
        <v>62</v>
      </c>
      <c r="N6" s="4">
        <v>65</v>
      </c>
      <c r="O6" s="4">
        <v>52</v>
      </c>
      <c r="P6" s="4">
        <v>51</v>
      </c>
      <c r="Q6" s="4">
        <v>67</v>
      </c>
      <c r="R6" s="4">
        <v>48</v>
      </c>
      <c r="S6" s="4">
        <v>74</v>
      </c>
      <c r="T6" s="4">
        <v>74</v>
      </c>
      <c r="U6" s="4">
        <v>50</v>
      </c>
      <c r="V6" s="4">
        <v>65</v>
      </c>
      <c r="W6" s="4">
        <v>64</v>
      </c>
      <c r="X6" s="4">
        <v>43</v>
      </c>
      <c r="Y6" s="4">
        <v>74</v>
      </c>
      <c r="Z6" s="4">
        <v>76</v>
      </c>
      <c r="AA6" s="4">
        <v>91</v>
      </c>
      <c r="AB6" s="4">
        <v>73</v>
      </c>
      <c r="AC6" s="4">
        <v>68</v>
      </c>
      <c r="AD6" s="4">
        <v>52</v>
      </c>
      <c r="AE6" s="4">
        <v>45</v>
      </c>
      <c r="AF6" s="4">
        <v>80</v>
      </c>
      <c r="AG6" s="4">
        <v>69</v>
      </c>
      <c r="AH6" s="4">
        <v>53</v>
      </c>
      <c r="AI6" s="4">
        <v>87</v>
      </c>
      <c r="AJ6" s="4">
        <v>70</v>
      </c>
      <c r="AK6" s="4">
        <v>67</v>
      </c>
      <c r="AL6" s="4">
        <v>56</v>
      </c>
    </row>
    <row r="7" spans="1:38" x14ac:dyDescent="0.2">
      <c r="A7" s="3">
        <v>4</v>
      </c>
      <c r="B7" s="4">
        <v>0</v>
      </c>
      <c r="C7" s="4">
        <v>167</v>
      </c>
      <c r="D7" s="4">
        <v>52</v>
      </c>
      <c r="E7" s="4">
        <v>37</v>
      </c>
      <c r="F7" s="4">
        <v>73</v>
      </c>
      <c r="G7" s="4">
        <v>41.5</v>
      </c>
      <c r="H7" s="4">
        <v>58</v>
      </c>
      <c r="I7" s="4">
        <v>44</v>
      </c>
      <c r="J7" s="12"/>
      <c r="K7" s="19" t="s">
        <v>16</v>
      </c>
      <c r="L7" s="4">
        <v>36</v>
      </c>
      <c r="M7" s="4">
        <v>39</v>
      </c>
      <c r="N7" s="4">
        <v>38</v>
      </c>
      <c r="O7" s="4">
        <v>37</v>
      </c>
      <c r="P7" s="4">
        <v>36</v>
      </c>
      <c r="Q7" s="4">
        <v>38</v>
      </c>
      <c r="R7" s="4">
        <v>39</v>
      </c>
      <c r="S7" s="4">
        <v>43</v>
      </c>
      <c r="T7" s="4">
        <v>41</v>
      </c>
      <c r="U7" s="4">
        <v>36</v>
      </c>
      <c r="V7" s="4">
        <v>36</v>
      </c>
      <c r="W7" s="4">
        <v>40</v>
      </c>
      <c r="X7" s="4">
        <v>36</v>
      </c>
      <c r="Y7" s="4">
        <v>42</v>
      </c>
      <c r="Z7" s="4">
        <v>43</v>
      </c>
      <c r="AA7" s="4">
        <v>41</v>
      </c>
      <c r="AB7" s="4">
        <v>42</v>
      </c>
      <c r="AC7" s="4">
        <v>39</v>
      </c>
      <c r="AD7" s="4">
        <v>36</v>
      </c>
      <c r="AE7" s="4">
        <v>34</v>
      </c>
      <c r="AF7" s="4">
        <v>43</v>
      </c>
      <c r="AG7" s="4">
        <v>41</v>
      </c>
      <c r="AH7" s="4">
        <v>36</v>
      </c>
      <c r="AI7" s="4">
        <v>45</v>
      </c>
      <c r="AJ7" s="4">
        <v>38</v>
      </c>
      <c r="AK7" s="4">
        <v>40</v>
      </c>
      <c r="AL7" s="4">
        <v>37.5</v>
      </c>
    </row>
    <row r="8" spans="1:38" x14ac:dyDescent="0.2">
      <c r="A8" s="3">
        <v>5</v>
      </c>
      <c r="B8" s="4">
        <v>0</v>
      </c>
      <c r="C8" s="4">
        <v>164</v>
      </c>
      <c r="D8" s="4">
        <v>51</v>
      </c>
      <c r="E8" s="4">
        <v>36</v>
      </c>
      <c r="F8" s="4">
        <v>71</v>
      </c>
      <c r="G8" s="4">
        <v>44.5</v>
      </c>
      <c r="H8" s="4">
        <v>54</v>
      </c>
      <c r="I8" s="4">
        <v>40</v>
      </c>
      <c r="J8" s="12"/>
      <c r="K8" s="19" t="s">
        <v>17</v>
      </c>
      <c r="L8" s="4">
        <v>68</v>
      </c>
      <c r="M8" s="4">
        <v>73</v>
      </c>
      <c r="N8" s="4">
        <v>75</v>
      </c>
      <c r="O8" s="4">
        <v>73</v>
      </c>
      <c r="P8" s="4">
        <v>71</v>
      </c>
      <c r="Q8" s="4">
        <v>71</v>
      </c>
      <c r="R8" s="4">
        <v>72.5</v>
      </c>
      <c r="S8" s="4">
        <v>74</v>
      </c>
      <c r="T8" s="4">
        <v>79</v>
      </c>
      <c r="U8" s="4">
        <v>68.5</v>
      </c>
      <c r="V8" s="4">
        <v>68</v>
      </c>
      <c r="W8" s="4">
        <v>79</v>
      </c>
      <c r="X8" s="4">
        <v>68</v>
      </c>
      <c r="Y8" s="4">
        <v>75</v>
      </c>
      <c r="Z8" s="4">
        <v>83</v>
      </c>
      <c r="AA8" s="4">
        <v>83</v>
      </c>
      <c r="AB8" s="4">
        <v>78</v>
      </c>
      <c r="AC8" s="4">
        <v>72</v>
      </c>
      <c r="AD8" s="4">
        <v>67</v>
      </c>
      <c r="AE8" s="4">
        <v>66</v>
      </c>
      <c r="AF8" s="4">
        <v>76</v>
      </c>
      <c r="AG8" s="4">
        <v>74</v>
      </c>
      <c r="AH8" s="4">
        <v>67</v>
      </c>
      <c r="AI8" s="4">
        <v>82</v>
      </c>
      <c r="AJ8" s="4">
        <v>73</v>
      </c>
      <c r="AK8" s="4">
        <v>77</v>
      </c>
      <c r="AL8" s="4">
        <v>70.5</v>
      </c>
    </row>
    <row r="9" spans="1:38" x14ac:dyDescent="0.2">
      <c r="A9" s="3">
        <v>6</v>
      </c>
      <c r="B9" s="4">
        <v>0</v>
      </c>
      <c r="C9" s="4">
        <v>161</v>
      </c>
      <c r="D9" s="4">
        <v>67</v>
      </c>
      <c r="E9" s="4">
        <v>38</v>
      </c>
      <c r="F9" s="4">
        <v>71</v>
      </c>
      <c r="G9" s="4">
        <v>44</v>
      </c>
      <c r="H9" s="4">
        <v>56</v>
      </c>
      <c r="I9" s="4">
        <v>42</v>
      </c>
      <c r="J9" s="12"/>
      <c r="K9" s="19" t="s">
        <v>18</v>
      </c>
      <c r="L9" s="4">
        <v>42</v>
      </c>
      <c r="M9" s="4">
        <v>44</v>
      </c>
      <c r="N9" s="4">
        <v>48</v>
      </c>
      <c r="O9" s="4">
        <v>41.5</v>
      </c>
      <c r="P9" s="4">
        <v>44.5</v>
      </c>
      <c r="Q9" s="4">
        <v>44</v>
      </c>
      <c r="R9" s="4">
        <v>41</v>
      </c>
      <c r="S9" s="4">
        <v>50</v>
      </c>
      <c r="T9" s="4">
        <v>47.5</v>
      </c>
      <c r="U9" s="4">
        <v>44</v>
      </c>
      <c r="V9" s="4">
        <v>46</v>
      </c>
      <c r="W9" s="4">
        <v>48</v>
      </c>
      <c r="X9" s="4">
        <v>43</v>
      </c>
      <c r="Y9" s="4">
        <v>50</v>
      </c>
      <c r="Z9" s="4">
        <v>51</v>
      </c>
      <c r="AA9" s="4">
        <v>53</v>
      </c>
      <c r="AB9" s="4">
        <v>48</v>
      </c>
      <c r="AC9" s="4">
        <v>44</v>
      </c>
      <c r="AD9" s="4">
        <v>36</v>
      </c>
      <c r="AE9" s="4">
        <v>40</v>
      </c>
      <c r="AF9" s="4">
        <v>49</v>
      </c>
      <c r="AG9" s="4">
        <v>48</v>
      </c>
      <c r="AH9" s="4">
        <v>43</v>
      </c>
      <c r="AI9" s="4">
        <v>53</v>
      </c>
      <c r="AJ9" s="4">
        <v>45</v>
      </c>
      <c r="AK9" s="4">
        <v>46.5</v>
      </c>
      <c r="AL9" s="4">
        <v>48</v>
      </c>
    </row>
    <row r="10" spans="1:38" x14ac:dyDescent="0.2">
      <c r="A10" s="3">
        <v>7</v>
      </c>
      <c r="B10" s="4">
        <v>0</v>
      </c>
      <c r="C10" s="4">
        <v>168</v>
      </c>
      <c r="D10" s="4">
        <v>48</v>
      </c>
      <c r="E10" s="4">
        <v>39</v>
      </c>
      <c r="F10" s="4">
        <v>72.5</v>
      </c>
      <c r="G10" s="4">
        <v>41</v>
      </c>
      <c r="H10" s="4">
        <v>54.5</v>
      </c>
      <c r="I10" s="4">
        <v>43</v>
      </c>
      <c r="J10" s="12"/>
      <c r="K10" s="19" t="s">
        <v>19</v>
      </c>
      <c r="L10" s="4">
        <v>57</v>
      </c>
      <c r="M10" s="4">
        <v>55</v>
      </c>
      <c r="N10" s="4">
        <v>58</v>
      </c>
      <c r="O10" s="4">
        <v>58</v>
      </c>
      <c r="P10" s="4">
        <v>54</v>
      </c>
      <c r="Q10" s="4">
        <v>56</v>
      </c>
      <c r="R10" s="4">
        <v>54.5</v>
      </c>
      <c r="S10" s="4">
        <v>60</v>
      </c>
      <c r="T10" s="4">
        <v>59.5</v>
      </c>
      <c r="U10" s="4">
        <v>57</v>
      </c>
      <c r="V10" s="4">
        <v>58</v>
      </c>
      <c r="W10" s="4">
        <v>56.5</v>
      </c>
      <c r="X10" s="4">
        <v>55</v>
      </c>
      <c r="Y10" s="4">
        <v>59</v>
      </c>
      <c r="Z10" s="4">
        <v>57</v>
      </c>
      <c r="AA10" s="4">
        <v>59</v>
      </c>
      <c r="AB10" s="4">
        <v>58</v>
      </c>
      <c r="AC10" s="4">
        <v>59</v>
      </c>
      <c r="AD10" s="4">
        <v>56</v>
      </c>
      <c r="AE10" s="4">
        <v>55</v>
      </c>
      <c r="AF10" s="4">
        <v>57</v>
      </c>
      <c r="AG10" s="4">
        <v>56</v>
      </c>
      <c r="AH10" s="4">
        <v>56</v>
      </c>
      <c r="AI10" s="4">
        <v>61</v>
      </c>
      <c r="AJ10" s="4">
        <v>56</v>
      </c>
      <c r="AK10" s="4">
        <v>58</v>
      </c>
      <c r="AL10" s="4">
        <v>60</v>
      </c>
    </row>
    <row r="11" spans="1:38" x14ac:dyDescent="0.2">
      <c r="A11" s="3">
        <v>8</v>
      </c>
      <c r="B11" s="4">
        <v>1</v>
      </c>
      <c r="C11" s="4">
        <v>181</v>
      </c>
      <c r="D11" s="4">
        <v>74</v>
      </c>
      <c r="E11" s="4">
        <v>43</v>
      </c>
      <c r="F11" s="4">
        <v>74</v>
      </c>
      <c r="G11" s="4">
        <v>50</v>
      </c>
      <c r="H11" s="4">
        <v>60</v>
      </c>
      <c r="I11" s="4">
        <v>47</v>
      </c>
      <c r="J11" s="12"/>
      <c r="K11" s="18" t="s">
        <v>20</v>
      </c>
      <c r="L11" s="4">
        <v>40</v>
      </c>
      <c r="M11" s="4">
        <v>44</v>
      </c>
      <c r="N11" s="4">
        <v>44</v>
      </c>
      <c r="O11" s="4">
        <v>44</v>
      </c>
      <c r="P11" s="4">
        <v>40</v>
      </c>
      <c r="Q11" s="4">
        <v>42</v>
      </c>
      <c r="R11" s="4">
        <v>43</v>
      </c>
      <c r="S11" s="4">
        <v>47</v>
      </c>
      <c r="T11" s="4">
        <v>47</v>
      </c>
      <c r="U11" s="4">
        <v>41</v>
      </c>
      <c r="V11" s="4">
        <v>41</v>
      </c>
      <c r="W11" s="4">
        <v>47</v>
      </c>
      <c r="X11" s="4">
        <v>39</v>
      </c>
      <c r="Y11" s="4">
        <v>45</v>
      </c>
      <c r="Z11" s="4">
        <v>43</v>
      </c>
      <c r="AA11" s="4">
        <v>43</v>
      </c>
      <c r="AB11" s="4">
        <v>45</v>
      </c>
      <c r="AC11" s="4">
        <v>42</v>
      </c>
      <c r="AD11" s="4">
        <v>41</v>
      </c>
      <c r="AE11" s="4">
        <v>38</v>
      </c>
      <c r="AF11" s="4">
        <v>46</v>
      </c>
      <c r="AG11" s="4">
        <v>44</v>
      </c>
      <c r="AH11" s="4">
        <v>38</v>
      </c>
      <c r="AI11" s="4">
        <v>52</v>
      </c>
      <c r="AJ11" s="4">
        <v>43</v>
      </c>
      <c r="AK11" s="4">
        <v>44.5</v>
      </c>
      <c r="AL11" s="4">
        <v>40</v>
      </c>
    </row>
    <row r="12" spans="1:38" x14ac:dyDescent="0.2">
      <c r="A12" s="3">
        <v>9</v>
      </c>
      <c r="B12" s="4">
        <v>1</v>
      </c>
      <c r="C12" s="4">
        <v>183</v>
      </c>
      <c r="D12" s="4">
        <v>74</v>
      </c>
      <c r="E12" s="4">
        <v>41</v>
      </c>
      <c r="F12" s="4">
        <v>79</v>
      </c>
      <c r="G12" s="4">
        <v>47.5</v>
      </c>
      <c r="H12" s="4">
        <v>59.5</v>
      </c>
      <c r="I12" s="4">
        <v>47</v>
      </c>
      <c r="J12" s="12"/>
    </row>
    <row r="13" spans="1:38" x14ac:dyDescent="0.2">
      <c r="A13" s="3">
        <v>10</v>
      </c>
      <c r="B13" s="4">
        <v>0</v>
      </c>
      <c r="C13" s="4">
        <v>158</v>
      </c>
      <c r="D13" s="4">
        <v>50</v>
      </c>
      <c r="E13" s="4">
        <v>36</v>
      </c>
      <c r="F13" s="4">
        <v>68.5</v>
      </c>
      <c r="G13" s="4">
        <v>44</v>
      </c>
      <c r="H13" s="4">
        <v>57</v>
      </c>
      <c r="I13" s="4">
        <v>41</v>
      </c>
      <c r="J13" s="12"/>
      <c r="K13" s="17" t="s">
        <v>21</v>
      </c>
      <c r="L13" s="17"/>
      <c r="P13" s="16" t="s">
        <v>22</v>
      </c>
      <c r="R13" s="17" t="s">
        <v>23</v>
      </c>
      <c r="S13" s="17"/>
      <c r="T13" s="17"/>
    </row>
    <row r="14" spans="1:38" x14ac:dyDescent="0.2">
      <c r="A14" s="3">
        <v>11</v>
      </c>
      <c r="B14" s="4">
        <v>0</v>
      </c>
      <c r="C14" s="4">
        <v>156</v>
      </c>
      <c r="D14" s="4">
        <v>65</v>
      </c>
      <c r="E14" s="4">
        <v>36</v>
      </c>
      <c r="F14" s="4">
        <v>68</v>
      </c>
      <c r="G14" s="4">
        <v>46</v>
      </c>
      <c r="H14" s="4">
        <v>58</v>
      </c>
      <c r="I14" s="4">
        <v>41</v>
      </c>
      <c r="J14" s="12"/>
      <c r="K14" s="20">
        <v>1</v>
      </c>
      <c r="P14" s="2" cm="1">
        <f t="array" ref="P14:P21">+MMULT(L4:AL11,K14:K40)</f>
        <v>12</v>
      </c>
      <c r="R14" s="2" cm="1">
        <f t="array" ref="R14:R21">+_xlfn.ANCHORARRAY(P14)*M16</f>
        <v>0.44444444444444442</v>
      </c>
    </row>
    <row r="15" spans="1:38" x14ac:dyDescent="0.2">
      <c r="A15" s="3">
        <v>12</v>
      </c>
      <c r="B15" s="4">
        <v>1</v>
      </c>
      <c r="C15" s="4">
        <v>173</v>
      </c>
      <c r="D15" s="4">
        <v>64</v>
      </c>
      <c r="E15" s="4">
        <v>40</v>
      </c>
      <c r="F15" s="4">
        <v>79</v>
      </c>
      <c r="G15" s="4">
        <v>48</v>
      </c>
      <c r="H15" s="4">
        <v>56.5</v>
      </c>
      <c r="I15" s="4">
        <v>47</v>
      </c>
      <c r="J15" s="12"/>
      <c r="K15" s="21">
        <v>1</v>
      </c>
      <c r="M15" s="15" t="s">
        <v>28</v>
      </c>
      <c r="P15" s="2">
        <v>4557</v>
      </c>
      <c r="R15" s="2">
        <v>168.77777777777777</v>
      </c>
    </row>
    <row r="16" spans="1:38" x14ac:dyDescent="0.2">
      <c r="A16" s="3">
        <v>13</v>
      </c>
      <c r="B16" s="4">
        <v>0</v>
      </c>
      <c r="C16" s="4">
        <v>158</v>
      </c>
      <c r="D16" s="4">
        <v>43</v>
      </c>
      <c r="E16" s="4">
        <v>36</v>
      </c>
      <c r="F16" s="4">
        <v>68</v>
      </c>
      <c r="G16" s="4">
        <v>43</v>
      </c>
      <c r="H16" s="4">
        <v>55</v>
      </c>
      <c r="I16" s="4">
        <v>39</v>
      </c>
      <c r="J16" s="12"/>
      <c r="K16" s="21">
        <v>1</v>
      </c>
      <c r="M16" s="2">
        <f>1/27</f>
        <v>3.7037037037037035E-2</v>
      </c>
      <c r="P16" s="2">
        <v>1725</v>
      </c>
      <c r="R16" s="2">
        <v>63.888888888888886</v>
      </c>
    </row>
    <row r="17" spans="1:57" x14ac:dyDescent="0.2">
      <c r="A17" s="3">
        <v>14</v>
      </c>
      <c r="B17" s="4">
        <v>1</v>
      </c>
      <c r="C17" s="4">
        <v>178</v>
      </c>
      <c r="D17" s="4">
        <v>74</v>
      </c>
      <c r="E17" s="4">
        <v>42</v>
      </c>
      <c r="F17" s="4">
        <v>75</v>
      </c>
      <c r="G17" s="4">
        <v>50</v>
      </c>
      <c r="H17" s="4">
        <v>59</v>
      </c>
      <c r="I17" s="4">
        <v>45</v>
      </c>
      <c r="J17" s="12"/>
      <c r="K17" s="21">
        <v>1</v>
      </c>
      <c r="P17" s="2">
        <v>1052.5</v>
      </c>
      <c r="R17" s="2">
        <v>38.981481481481481</v>
      </c>
    </row>
    <row r="18" spans="1:57" x14ac:dyDescent="0.2">
      <c r="A18" s="3">
        <v>15</v>
      </c>
      <c r="B18" s="4">
        <v>1</v>
      </c>
      <c r="C18" s="4">
        <v>181</v>
      </c>
      <c r="D18" s="4">
        <v>76</v>
      </c>
      <c r="E18" s="4">
        <v>43</v>
      </c>
      <c r="F18" s="4">
        <v>83</v>
      </c>
      <c r="G18" s="4">
        <v>51</v>
      </c>
      <c r="H18" s="4">
        <v>57</v>
      </c>
      <c r="I18" s="4">
        <v>43</v>
      </c>
      <c r="J18" s="12"/>
      <c r="K18" s="21">
        <v>1</v>
      </c>
      <c r="P18" s="2">
        <v>1983.5</v>
      </c>
      <c r="R18" s="2">
        <v>73.462962962962962</v>
      </c>
    </row>
    <row r="19" spans="1:57" x14ac:dyDescent="0.2">
      <c r="A19" s="3">
        <v>16</v>
      </c>
      <c r="B19" s="4">
        <v>1</v>
      </c>
      <c r="C19" s="4">
        <v>182</v>
      </c>
      <c r="D19" s="4">
        <v>91</v>
      </c>
      <c r="E19" s="4">
        <v>41</v>
      </c>
      <c r="F19" s="4">
        <v>83</v>
      </c>
      <c r="G19" s="4">
        <v>53</v>
      </c>
      <c r="H19" s="4">
        <v>59</v>
      </c>
      <c r="I19" s="4">
        <v>43</v>
      </c>
      <c r="J19" s="12"/>
      <c r="K19" s="21">
        <v>1</v>
      </c>
      <c r="P19" s="2">
        <v>1238</v>
      </c>
      <c r="R19" s="2">
        <v>45.851851851851848</v>
      </c>
    </row>
    <row r="20" spans="1:57" x14ac:dyDescent="0.2">
      <c r="A20" s="3">
        <v>17</v>
      </c>
      <c r="B20" s="4">
        <v>1</v>
      </c>
      <c r="C20" s="4">
        <v>176</v>
      </c>
      <c r="D20" s="4">
        <v>73</v>
      </c>
      <c r="E20" s="4">
        <v>42</v>
      </c>
      <c r="F20" s="4">
        <v>78</v>
      </c>
      <c r="G20" s="4">
        <v>48</v>
      </c>
      <c r="H20" s="4">
        <v>58</v>
      </c>
      <c r="I20" s="4">
        <v>45</v>
      </c>
      <c r="J20" s="12"/>
      <c r="K20" s="21">
        <v>1</v>
      </c>
      <c r="P20" s="2">
        <v>1545.5</v>
      </c>
      <c r="R20" s="2">
        <v>57.24074074074074</v>
      </c>
    </row>
    <row r="21" spans="1:57" x14ac:dyDescent="0.2">
      <c r="A21" s="3">
        <v>18</v>
      </c>
      <c r="B21" s="4">
        <v>0</v>
      </c>
      <c r="C21" s="4">
        <v>162</v>
      </c>
      <c r="D21" s="4">
        <v>68</v>
      </c>
      <c r="E21" s="4">
        <v>39</v>
      </c>
      <c r="F21" s="4">
        <v>72</v>
      </c>
      <c r="G21" s="4">
        <v>44</v>
      </c>
      <c r="H21" s="4">
        <v>59</v>
      </c>
      <c r="I21" s="4">
        <v>42</v>
      </c>
      <c r="J21" s="12"/>
      <c r="K21" s="21">
        <v>1</v>
      </c>
      <c r="P21" s="2">
        <v>1163.5</v>
      </c>
      <c r="R21" s="2">
        <v>43.092592592592588</v>
      </c>
    </row>
    <row r="22" spans="1:57" x14ac:dyDescent="0.2">
      <c r="A22" s="3">
        <v>19</v>
      </c>
      <c r="B22" s="4">
        <v>0</v>
      </c>
      <c r="C22" s="4">
        <v>156</v>
      </c>
      <c r="D22" s="4">
        <v>52</v>
      </c>
      <c r="E22" s="4">
        <v>36</v>
      </c>
      <c r="F22" s="4">
        <v>67</v>
      </c>
      <c r="G22" s="4">
        <v>36</v>
      </c>
      <c r="H22" s="4">
        <v>56</v>
      </c>
      <c r="I22" s="4">
        <v>41</v>
      </c>
      <c r="J22" s="12"/>
      <c r="K22" s="21">
        <v>1</v>
      </c>
    </row>
    <row r="23" spans="1:57" x14ac:dyDescent="0.2">
      <c r="A23" s="3">
        <v>20</v>
      </c>
      <c r="B23" s="4">
        <v>0</v>
      </c>
      <c r="C23" s="4">
        <v>152</v>
      </c>
      <c r="D23" s="4">
        <v>45</v>
      </c>
      <c r="E23" s="4">
        <v>34</v>
      </c>
      <c r="F23" s="4">
        <v>66</v>
      </c>
      <c r="G23" s="4">
        <v>40</v>
      </c>
      <c r="H23" s="4">
        <v>55</v>
      </c>
      <c r="I23" s="4">
        <v>38</v>
      </c>
      <c r="J23" s="12"/>
      <c r="K23" s="21">
        <v>1</v>
      </c>
    </row>
    <row r="24" spans="1:57" x14ac:dyDescent="0.2">
      <c r="A24" s="3">
        <v>21</v>
      </c>
      <c r="B24" s="4">
        <v>1</v>
      </c>
      <c r="C24" s="4">
        <v>181</v>
      </c>
      <c r="D24" s="4">
        <v>80</v>
      </c>
      <c r="E24" s="4">
        <v>43</v>
      </c>
      <c r="F24" s="4">
        <v>76</v>
      </c>
      <c r="G24" s="4">
        <v>49</v>
      </c>
      <c r="H24" s="4">
        <v>57</v>
      </c>
      <c r="I24" s="4">
        <v>46</v>
      </c>
      <c r="J24" s="12"/>
      <c r="K24" s="21">
        <v>1</v>
      </c>
      <c r="M24" s="17" t="s">
        <v>24</v>
      </c>
      <c r="N24" s="17"/>
      <c r="V24" s="17" t="s">
        <v>25</v>
      </c>
      <c r="W24" s="17"/>
      <c r="X24" s="17"/>
      <c r="Y24" s="17"/>
      <c r="Z24" s="17"/>
      <c r="AA24" s="17"/>
      <c r="AB24" s="17"/>
      <c r="AC24" s="17"/>
      <c r="AE24" s="17" t="s">
        <v>26</v>
      </c>
      <c r="AF24" s="17"/>
      <c r="AG24" s="17"/>
    </row>
    <row r="25" spans="1:57" x14ac:dyDescent="0.2">
      <c r="A25" s="3">
        <v>22</v>
      </c>
      <c r="B25" s="4">
        <v>1</v>
      </c>
      <c r="C25" s="4">
        <v>173</v>
      </c>
      <c r="D25" s="4">
        <v>69</v>
      </c>
      <c r="E25" s="4">
        <v>41</v>
      </c>
      <c r="F25" s="4">
        <v>74</v>
      </c>
      <c r="G25" s="4">
        <v>48</v>
      </c>
      <c r="H25" s="4">
        <v>56</v>
      </c>
      <c r="I25" s="4">
        <v>44</v>
      </c>
      <c r="J25" s="12"/>
      <c r="K25" s="21">
        <v>1</v>
      </c>
      <c r="M25" s="1" cm="1">
        <f t="array" ref="M25:T51">+MMULT(K14:K40,B31:I31)</f>
        <v>0.44444444444444442</v>
      </c>
      <c r="N25" s="1">
        <v>168.77777777777777</v>
      </c>
      <c r="O25" s="1">
        <v>63.888888888888886</v>
      </c>
      <c r="P25" s="1">
        <v>38.981481481481481</v>
      </c>
      <c r="Q25" s="1">
        <v>73.462962962962962</v>
      </c>
      <c r="R25" s="1">
        <v>45.851851851851855</v>
      </c>
      <c r="S25" s="1">
        <v>57.24074074074074</v>
      </c>
      <c r="T25" s="1">
        <v>43.092592592592595</v>
      </c>
      <c r="V25" s="1" cm="1">
        <f t="array" ref="V25:AC51">+B4:I30-_xlfn.ANCHORARRAY(M25)</f>
        <v>-0.44444444444444442</v>
      </c>
      <c r="W25" s="1">
        <v>-9.7777777777777715</v>
      </c>
      <c r="X25" s="1">
        <v>-14.888888888888886</v>
      </c>
      <c r="Y25" s="1">
        <v>-2.981481481481481</v>
      </c>
      <c r="Z25" s="1">
        <v>-5.4629629629629619</v>
      </c>
      <c r="AA25" s="1">
        <v>-3.8518518518518547</v>
      </c>
      <c r="AB25" s="1">
        <v>-0.24074074074074048</v>
      </c>
      <c r="AC25" s="1">
        <v>-3.0925925925925952</v>
      </c>
      <c r="AE25" s="1" cm="1">
        <f t="array" ref="AE25:BE32">+TRANSPOSE(_xlfn.ANCHORARRAY(V25))</f>
        <v>-0.44444444444444442</v>
      </c>
      <c r="AF25" s="1">
        <v>0.55555555555555558</v>
      </c>
      <c r="AG25" s="1">
        <v>-0.44444444444444442</v>
      </c>
      <c r="AH25" s="1">
        <v>-0.44444444444444442</v>
      </c>
      <c r="AI25" s="1">
        <v>-0.44444444444444442</v>
      </c>
      <c r="AJ25" s="1">
        <v>-0.44444444444444442</v>
      </c>
      <c r="AK25" s="1">
        <v>-0.44444444444444442</v>
      </c>
      <c r="AL25" s="1">
        <v>0.55555555555555558</v>
      </c>
      <c r="AM25" s="1">
        <v>0.55555555555555558</v>
      </c>
      <c r="AN25" s="1">
        <v>-0.44444444444444442</v>
      </c>
      <c r="AO25" s="1">
        <v>-0.44444444444444442</v>
      </c>
      <c r="AP25" s="1">
        <v>0.55555555555555558</v>
      </c>
      <c r="AQ25" s="1">
        <v>-0.44444444444444442</v>
      </c>
      <c r="AR25" s="1">
        <v>0.55555555555555558</v>
      </c>
      <c r="AS25" s="1">
        <v>0.55555555555555558</v>
      </c>
      <c r="AT25" s="1">
        <v>0.55555555555555558</v>
      </c>
      <c r="AU25" s="1">
        <v>0.55555555555555558</v>
      </c>
      <c r="AV25" s="1">
        <v>-0.44444444444444442</v>
      </c>
      <c r="AW25" s="1">
        <v>-0.44444444444444442</v>
      </c>
      <c r="AX25" s="1">
        <v>-0.44444444444444442</v>
      </c>
      <c r="AY25" s="1">
        <v>0.55555555555555558</v>
      </c>
      <c r="AZ25" s="1">
        <v>0.55555555555555558</v>
      </c>
      <c r="BA25" s="1">
        <v>-0.44444444444444442</v>
      </c>
      <c r="BB25" s="1">
        <v>0.55555555555555558</v>
      </c>
      <c r="BC25" s="1">
        <v>-0.44444444444444442</v>
      </c>
      <c r="BD25" s="1">
        <v>0.55555555555555558</v>
      </c>
      <c r="BE25" s="1">
        <v>-0.44444444444444442</v>
      </c>
    </row>
    <row r="26" spans="1:57" x14ac:dyDescent="0.2">
      <c r="A26" s="3">
        <v>23</v>
      </c>
      <c r="B26" s="4">
        <v>0</v>
      </c>
      <c r="C26" s="4">
        <v>155</v>
      </c>
      <c r="D26" s="4">
        <v>53</v>
      </c>
      <c r="E26" s="4">
        <v>36</v>
      </c>
      <c r="F26" s="4">
        <v>67</v>
      </c>
      <c r="G26" s="4">
        <v>43</v>
      </c>
      <c r="H26" s="4">
        <v>56</v>
      </c>
      <c r="I26" s="4">
        <v>38</v>
      </c>
      <c r="J26" s="12"/>
      <c r="K26" s="21">
        <v>1</v>
      </c>
      <c r="M26" s="1">
        <v>0.44444444444444442</v>
      </c>
      <c r="N26" s="1">
        <v>168.77777777777777</v>
      </c>
      <c r="O26" s="1">
        <v>63.888888888888886</v>
      </c>
      <c r="P26" s="1">
        <v>38.981481481481481</v>
      </c>
      <c r="Q26" s="1">
        <v>73.462962962962962</v>
      </c>
      <c r="R26" s="1">
        <v>45.851851851851855</v>
      </c>
      <c r="S26" s="1">
        <v>57.24074074074074</v>
      </c>
      <c r="T26" s="1">
        <v>43.092592592592595</v>
      </c>
      <c r="V26" s="1">
        <v>0.55555555555555558</v>
      </c>
      <c r="W26" s="1">
        <v>-4.7777777777777715</v>
      </c>
      <c r="X26" s="1">
        <v>-1.8888888888888857</v>
      </c>
      <c r="Y26" s="1">
        <v>1.8518518518519045E-2</v>
      </c>
      <c r="Z26" s="1">
        <v>-0.46296296296296191</v>
      </c>
      <c r="AA26" s="1">
        <v>-1.8518518518518547</v>
      </c>
      <c r="AB26" s="1">
        <v>-2.2407407407407405</v>
      </c>
      <c r="AC26" s="1">
        <v>0.90740740740740478</v>
      </c>
      <c r="AE26" s="1">
        <v>-9.7777777777777715</v>
      </c>
      <c r="AF26" s="1">
        <v>-4.7777777777777715</v>
      </c>
      <c r="AG26" s="1">
        <v>3.2222222222222285</v>
      </c>
      <c r="AH26" s="1">
        <v>-1.7777777777777715</v>
      </c>
      <c r="AI26" s="1">
        <v>-4.7777777777777715</v>
      </c>
      <c r="AJ26" s="1">
        <v>-7.7777777777777715</v>
      </c>
      <c r="AK26" s="1">
        <v>-0.77777777777777146</v>
      </c>
      <c r="AL26" s="1">
        <v>12.222222222222229</v>
      </c>
      <c r="AM26" s="1">
        <v>14.222222222222229</v>
      </c>
      <c r="AN26" s="1">
        <v>-10.777777777777771</v>
      </c>
      <c r="AO26" s="1">
        <v>-12.777777777777771</v>
      </c>
      <c r="AP26" s="1">
        <v>4.2222222222222285</v>
      </c>
      <c r="AQ26" s="1">
        <v>-10.777777777777771</v>
      </c>
      <c r="AR26" s="1">
        <v>9.2222222222222285</v>
      </c>
      <c r="AS26" s="1">
        <v>12.222222222222229</v>
      </c>
      <c r="AT26" s="1">
        <v>13.222222222222229</v>
      </c>
      <c r="AU26" s="1">
        <v>7.2222222222222285</v>
      </c>
      <c r="AV26" s="1">
        <v>-6.7777777777777715</v>
      </c>
      <c r="AW26" s="1">
        <v>-12.777777777777771</v>
      </c>
      <c r="AX26" s="1">
        <v>-16.777777777777771</v>
      </c>
      <c r="AY26" s="1">
        <v>12.222222222222229</v>
      </c>
      <c r="AZ26" s="1">
        <v>4.2222222222222285</v>
      </c>
      <c r="BA26" s="1">
        <v>-13.777777777777771</v>
      </c>
      <c r="BB26" s="1">
        <v>20.222222222222229</v>
      </c>
      <c r="BC26" s="1">
        <v>1.2222222222222285</v>
      </c>
      <c r="BD26" s="1">
        <v>1.2222222222222285</v>
      </c>
      <c r="BE26" s="1">
        <v>-0.77777777777777146</v>
      </c>
    </row>
    <row r="27" spans="1:57" x14ac:dyDescent="0.2">
      <c r="A27" s="3">
        <v>24</v>
      </c>
      <c r="B27" s="4">
        <v>1</v>
      </c>
      <c r="C27" s="4">
        <v>189</v>
      </c>
      <c r="D27" s="4">
        <v>87</v>
      </c>
      <c r="E27" s="4">
        <v>45</v>
      </c>
      <c r="F27" s="4">
        <v>82</v>
      </c>
      <c r="G27" s="4">
        <v>53</v>
      </c>
      <c r="H27" s="4">
        <v>61</v>
      </c>
      <c r="I27" s="4">
        <v>52</v>
      </c>
      <c r="J27" s="12"/>
      <c r="K27" s="21">
        <v>1</v>
      </c>
      <c r="M27" s="1">
        <v>0.44444444444444442</v>
      </c>
      <c r="N27" s="1">
        <v>168.77777777777777</v>
      </c>
      <c r="O27" s="1">
        <v>63.888888888888886</v>
      </c>
      <c r="P27" s="1">
        <v>38.981481481481481</v>
      </c>
      <c r="Q27" s="1">
        <v>73.462962962962962</v>
      </c>
      <c r="R27" s="1">
        <v>45.851851851851855</v>
      </c>
      <c r="S27" s="1">
        <v>57.24074074074074</v>
      </c>
      <c r="T27" s="1">
        <v>43.092592592592595</v>
      </c>
      <c r="V27" s="1">
        <v>-0.44444444444444442</v>
      </c>
      <c r="W27" s="1">
        <v>3.2222222222222285</v>
      </c>
      <c r="X27" s="1">
        <v>1.1111111111111143</v>
      </c>
      <c r="Y27" s="1">
        <v>-0.98148148148148096</v>
      </c>
      <c r="Z27" s="1">
        <v>1.5370370370370381</v>
      </c>
      <c r="AA27" s="1">
        <v>2.1481481481481453</v>
      </c>
      <c r="AB27" s="1">
        <v>0.75925925925925952</v>
      </c>
      <c r="AC27" s="1">
        <v>0.90740740740740478</v>
      </c>
      <c r="AE27" s="1">
        <v>-14.888888888888886</v>
      </c>
      <c r="AF27" s="1">
        <v>-1.8888888888888857</v>
      </c>
      <c r="AG27" s="1">
        <v>1.1111111111111143</v>
      </c>
      <c r="AH27" s="1">
        <v>-11.888888888888886</v>
      </c>
      <c r="AI27" s="1">
        <v>-12.888888888888886</v>
      </c>
      <c r="AJ27" s="1">
        <v>3.1111111111111143</v>
      </c>
      <c r="AK27" s="1">
        <v>-15.888888888888886</v>
      </c>
      <c r="AL27" s="1">
        <v>10.111111111111114</v>
      </c>
      <c r="AM27" s="1">
        <v>10.111111111111114</v>
      </c>
      <c r="AN27" s="1">
        <v>-13.888888888888886</v>
      </c>
      <c r="AO27" s="1">
        <v>1.1111111111111143</v>
      </c>
      <c r="AP27" s="1">
        <v>0.11111111111111427</v>
      </c>
      <c r="AQ27" s="1">
        <v>-20.888888888888886</v>
      </c>
      <c r="AR27" s="1">
        <v>10.111111111111114</v>
      </c>
      <c r="AS27" s="1">
        <v>12.111111111111114</v>
      </c>
      <c r="AT27" s="1">
        <v>27.111111111111114</v>
      </c>
      <c r="AU27" s="1">
        <v>9.1111111111111143</v>
      </c>
      <c r="AV27" s="1">
        <v>4.1111111111111143</v>
      </c>
      <c r="AW27" s="1">
        <v>-11.888888888888886</v>
      </c>
      <c r="AX27" s="1">
        <v>-18.888888888888886</v>
      </c>
      <c r="AY27" s="1">
        <v>16.111111111111114</v>
      </c>
      <c r="AZ27" s="1">
        <v>5.1111111111111143</v>
      </c>
      <c r="BA27" s="1">
        <v>-10.888888888888886</v>
      </c>
      <c r="BB27" s="1">
        <v>23.111111111111114</v>
      </c>
      <c r="BC27" s="1">
        <v>6.1111111111111143</v>
      </c>
      <c r="BD27" s="1">
        <v>3.1111111111111143</v>
      </c>
      <c r="BE27" s="1">
        <v>-7.8888888888888857</v>
      </c>
    </row>
    <row r="28" spans="1:57" x14ac:dyDescent="0.2">
      <c r="A28" s="3">
        <v>25</v>
      </c>
      <c r="B28" s="4">
        <v>0</v>
      </c>
      <c r="C28" s="4">
        <v>170</v>
      </c>
      <c r="D28" s="4">
        <v>70</v>
      </c>
      <c r="E28" s="4">
        <v>38</v>
      </c>
      <c r="F28" s="4">
        <v>73</v>
      </c>
      <c r="G28" s="4">
        <v>45</v>
      </c>
      <c r="H28" s="4">
        <v>56</v>
      </c>
      <c r="I28" s="4">
        <v>43</v>
      </c>
      <c r="J28" s="12"/>
      <c r="K28" s="21">
        <v>1</v>
      </c>
      <c r="M28" s="1">
        <v>0.44444444444444442</v>
      </c>
      <c r="N28" s="1">
        <v>168.77777777777777</v>
      </c>
      <c r="O28" s="1">
        <v>63.888888888888886</v>
      </c>
      <c r="P28" s="1">
        <v>38.981481481481481</v>
      </c>
      <c r="Q28" s="1">
        <v>73.462962962962962</v>
      </c>
      <c r="R28" s="1">
        <v>45.851851851851855</v>
      </c>
      <c r="S28" s="1">
        <v>57.24074074074074</v>
      </c>
      <c r="T28" s="1">
        <v>43.092592592592595</v>
      </c>
      <c r="V28" s="1">
        <v>-0.44444444444444442</v>
      </c>
      <c r="W28" s="1">
        <v>-1.7777777777777715</v>
      </c>
      <c r="X28" s="1">
        <v>-11.888888888888886</v>
      </c>
      <c r="Y28" s="1">
        <v>-1.981481481481481</v>
      </c>
      <c r="Z28" s="1">
        <v>-0.46296296296296191</v>
      </c>
      <c r="AA28" s="1">
        <v>-4.3518518518518547</v>
      </c>
      <c r="AB28" s="1">
        <v>0.75925925925925952</v>
      </c>
      <c r="AC28" s="1">
        <v>0.90740740740740478</v>
      </c>
      <c r="AE28" s="1">
        <v>-2.981481481481481</v>
      </c>
      <c r="AF28" s="1">
        <v>1.8518518518519045E-2</v>
      </c>
      <c r="AG28" s="1">
        <v>-0.98148148148148096</v>
      </c>
      <c r="AH28" s="1">
        <v>-1.981481481481481</v>
      </c>
      <c r="AI28" s="1">
        <v>-2.981481481481481</v>
      </c>
      <c r="AJ28" s="1">
        <v>-0.98148148148148096</v>
      </c>
      <c r="AK28" s="1">
        <v>1.8518518518519045E-2</v>
      </c>
      <c r="AL28" s="1">
        <v>4.018518518518519</v>
      </c>
      <c r="AM28" s="1">
        <v>2.018518518518519</v>
      </c>
      <c r="AN28" s="1">
        <v>-2.981481481481481</v>
      </c>
      <c r="AO28" s="1">
        <v>-2.981481481481481</v>
      </c>
      <c r="AP28" s="1">
        <v>1.018518518518519</v>
      </c>
      <c r="AQ28" s="1">
        <v>-2.981481481481481</v>
      </c>
      <c r="AR28" s="1">
        <v>3.018518518518519</v>
      </c>
      <c r="AS28" s="1">
        <v>4.018518518518519</v>
      </c>
      <c r="AT28" s="1">
        <v>2.018518518518519</v>
      </c>
      <c r="AU28" s="1">
        <v>3.018518518518519</v>
      </c>
      <c r="AV28" s="1">
        <v>1.8518518518519045E-2</v>
      </c>
      <c r="AW28" s="1">
        <v>-2.981481481481481</v>
      </c>
      <c r="AX28" s="1">
        <v>-4.981481481481481</v>
      </c>
      <c r="AY28" s="1">
        <v>4.018518518518519</v>
      </c>
      <c r="AZ28" s="1">
        <v>2.018518518518519</v>
      </c>
      <c r="BA28" s="1">
        <v>-2.981481481481481</v>
      </c>
      <c r="BB28" s="1">
        <v>6.018518518518519</v>
      </c>
      <c r="BC28" s="1">
        <v>-0.98148148148148096</v>
      </c>
      <c r="BD28" s="1">
        <v>1.018518518518519</v>
      </c>
      <c r="BE28" s="1">
        <v>-1.481481481481481</v>
      </c>
    </row>
    <row r="29" spans="1:57" x14ac:dyDescent="0.2">
      <c r="A29" s="3">
        <v>26</v>
      </c>
      <c r="B29" s="4">
        <v>1</v>
      </c>
      <c r="C29" s="4">
        <v>170</v>
      </c>
      <c r="D29" s="4">
        <v>67</v>
      </c>
      <c r="E29" s="4">
        <v>40</v>
      </c>
      <c r="F29" s="4">
        <v>77</v>
      </c>
      <c r="G29" s="4">
        <v>46.5</v>
      </c>
      <c r="H29" s="4">
        <v>58</v>
      </c>
      <c r="I29" s="4">
        <v>44.5</v>
      </c>
      <c r="J29" s="12"/>
      <c r="K29" s="21">
        <v>1</v>
      </c>
      <c r="M29" s="1">
        <v>0.44444444444444442</v>
      </c>
      <c r="N29" s="1">
        <v>168.77777777777777</v>
      </c>
      <c r="O29" s="1">
        <v>63.888888888888886</v>
      </c>
      <c r="P29" s="1">
        <v>38.981481481481481</v>
      </c>
      <c r="Q29" s="1">
        <v>73.462962962962962</v>
      </c>
      <c r="R29" s="1">
        <v>45.851851851851855</v>
      </c>
      <c r="S29" s="1">
        <v>57.24074074074074</v>
      </c>
      <c r="T29" s="1">
        <v>43.092592592592595</v>
      </c>
      <c r="V29" s="1">
        <v>-0.44444444444444442</v>
      </c>
      <c r="W29" s="1">
        <v>-4.7777777777777715</v>
      </c>
      <c r="X29" s="1">
        <v>-12.888888888888886</v>
      </c>
      <c r="Y29" s="1">
        <v>-2.981481481481481</v>
      </c>
      <c r="Z29" s="1">
        <v>-2.4629629629629619</v>
      </c>
      <c r="AA29" s="1">
        <v>-1.3518518518518547</v>
      </c>
      <c r="AB29" s="1">
        <v>-3.2407407407407405</v>
      </c>
      <c r="AC29" s="1">
        <v>-3.0925925925925952</v>
      </c>
      <c r="AE29" s="1">
        <v>-5.4629629629629619</v>
      </c>
      <c r="AF29" s="1">
        <v>-0.46296296296296191</v>
      </c>
      <c r="AG29" s="1">
        <v>1.5370370370370381</v>
      </c>
      <c r="AH29" s="1">
        <v>-0.46296296296296191</v>
      </c>
      <c r="AI29" s="1">
        <v>-2.4629629629629619</v>
      </c>
      <c r="AJ29" s="1">
        <v>-2.4629629629629619</v>
      </c>
      <c r="AK29" s="1">
        <v>-0.96296296296296191</v>
      </c>
      <c r="AL29" s="1">
        <v>0.53703703703703809</v>
      </c>
      <c r="AM29" s="1">
        <v>5.5370370370370381</v>
      </c>
      <c r="AN29" s="1">
        <v>-4.9629629629629619</v>
      </c>
      <c r="AO29" s="1">
        <v>-5.4629629629629619</v>
      </c>
      <c r="AP29" s="1">
        <v>5.5370370370370381</v>
      </c>
      <c r="AQ29" s="1">
        <v>-5.4629629629629619</v>
      </c>
      <c r="AR29" s="1">
        <v>1.5370370370370381</v>
      </c>
      <c r="AS29" s="1">
        <v>9.5370370370370381</v>
      </c>
      <c r="AT29" s="1">
        <v>9.5370370370370381</v>
      </c>
      <c r="AU29" s="1">
        <v>4.5370370370370381</v>
      </c>
      <c r="AV29" s="1">
        <v>-1.4629629629629619</v>
      </c>
      <c r="AW29" s="1">
        <v>-6.4629629629629619</v>
      </c>
      <c r="AX29" s="1">
        <v>-7.4629629629629619</v>
      </c>
      <c r="AY29" s="1">
        <v>2.5370370370370381</v>
      </c>
      <c r="AZ29" s="1">
        <v>0.53703703703703809</v>
      </c>
      <c r="BA29" s="1">
        <v>-6.4629629629629619</v>
      </c>
      <c r="BB29" s="1">
        <v>8.5370370370370381</v>
      </c>
      <c r="BC29" s="1">
        <v>-0.46296296296296191</v>
      </c>
      <c r="BD29" s="1">
        <v>3.5370370370370381</v>
      </c>
      <c r="BE29" s="1">
        <v>-2.9629629629629619</v>
      </c>
    </row>
    <row r="30" spans="1:57" x14ac:dyDescent="0.2">
      <c r="A30" s="3">
        <v>27</v>
      </c>
      <c r="B30" s="4">
        <v>0</v>
      </c>
      <c r="C30" s="4">
        <v>168</v>
      </c>
      <c r="D30" s="4">
        <v>56</v>
      </c>
      <c r="E30" s="4">
        <v>37.5</v>
      </c>
      <c r="F30" s="4">
        <v>70.5</v>
      </c>
      <c r="G30" s="4">
        <v>48</v>
      </c>
      <c r="H30" s="4">
        <v>60</v>
      </c>
      <c r="I30" s="4">
        <v>40</v>
      </c>
      <c r="J30" s="12"/>
      <c r="K30" s="21">
        <v>1</v>
      </c>
      <c r="M30" s="1">
        <v>0.44444444444444442</v>
      </c>
      <c r="N30" s="1">
        <v>168.77777777777777</v>
      </c>
      <c r="O30" s="1">
        <v>63.888888888888886</v>
      </c>
      <c r="P30" s="1">
        <v>38.981481481481481</v>
      </c>
      <c r="Q30" s="1">
        <v>73.462962962962962</v>
      </c>
      <c r="R30" s="1">
        <v>45.851851851851855</v>
      </c>
      <c r="S30" s="1">
        <v>57.24074074074074</v>
      </c>
      <c r="T30" s="1">
        <v>43.092592592592595</v>
      </c>
      <c r="V30" s="1">
        <v>-0.44444444444444442</v>
      </c>
      <c r="W30" s="1">
        <v>-7.7777777777777715</v>
      </c>
      <c r="X30" s="1">
        <v>3.1111111111111143</v>
      </c>
      <c r="Y30" s="1">
        <v>-0.98148148148148096</v>
      </c>
      <c r="Z30" s="1">
        <v>-2.4629629629629619</v>
      </c>
      <c r="AA30" s="1">
        <v>-1.8518518518518547</v>
      </c>
      <c r="AB30" s="1">
        <v>-1.2407407407407405</v>
      </c>
      <c r="AC30" s="1">
        <v>-1.0925925925925952</v>
      </c>
      <c r="AE30" s="1">
        <v>-3.8518518518518547</v>
      </c>
      <c r="AF30" s="1">
        <v>-1.8518518518518547</v>
      </c>
      <c r="AG30" s="1">
        <v>2.1481481481481453</v>
      </c>
      <c r="AH30" s="1">
        <v>-4.3518518518518547</v>
      </c>
      <c r="AI30" s="1">
        <v>-1.3518518518518547</v>
      </c>
      <c r="AJ30" s="1">
        <v>-1.8518518518518547</v>
      </c>
      <c r="AK30" s="1">
        <v>-4.8518518518518547</v>
      </c>
      <c r="AL30" s="1">
        <v>4.1481481481481453</v>
      </c>
      <c r="AM30" s="1">
        <v>1.6481481481481453</v>
      </c>
      <c r="AN30" s="1">
        <v>-1.8518518518518547</v>
      </c>
      <c r="AO30" s="1">
        <v>0.14814814814814525</v>
      </c>
      <c r="AP30" s="1">
        <v>2.1481481481481453</v>
      </c>
      <c r="AQ30" s="1">
        <v>-2.8518518518518547</v>
      </c>
      <c r="AR30" s="1">
        <v>4.1481481481481453</v>
      </c>
      <c r="AS30" s="1">
        <v>5.1481481481481453</v>
      </c>
      <c r="AT30" s="1">
        <v>7.1481481481481453</v>
      </c>
      <c r="AU30" s="1">
        <v>2.1481481481481453</v>
      </c>
      <c r="AV30" s="1">
        <v>-1.8518518518518547</v>
      </c>
      <c r="AW30" s="1">
        <v>-9.8518518518518547</v>
      </c>
      <c r="AX30" s="1">
        <v>-5.8518518518518547</v>
      </c>
      <c r="AY30" s="1">
        <v>3.1481481481481453</v>
      </c>
      <c r="AZ30" s="1">
        <v>2.1481481481481453</v>
      </c>
      <c r="BA30" s="1">
        <v>-2.8518518518518547</v>
      </c>
      <c r="BB30" s="1">
        <v>7.1481481481481453</v>
      </c>
      <c r="BC30" s="1">
        <v>-0.85185185185185475</v>
      </c>
      <c r="BD30" s="1">
        <v>0.64814814814814525</v>
      </c>
      <c r="BE30" s="1">
        <v>2.1481481481481453</v>
      </c>
    </row>
    <row r="31" spans="1:57" x14ac:dyDescent="0.2">
      <c r="A31" s="7" t="s">
        <v>10</v>
      </c>
      <c r="B31" s="8">
        <f>+AVERAGE(B4:B30)</f>
        <v>0.44444444444444442</v>
      </c>
      <c r="C31" s="8">
        <f>+AVERAGE(C4:C30)</f>
        <v>168.77777777777777</v>
      </c>
      <c r="D31" s="8">
        <f t="shared" ref="D31:I31" si="0">+AVERAGE(D4:D30)</f>
        <v>63.888888888888886</v>
      </c>
      <c r="E31" s="8">
        <f t="shared" si="0"/>
        <v>38.981481481481481</v>
      </c>
      <c r="F31" s="8">
        <f t="shared" si="0"/>
        <v>73.462962962962962</v>
      </c>
      <c r="G31" s="8">
        <f t="shared" si="0"/>
        <v>45.851851851851855</v>
      </c>
      <c r="H31" s="8">
        <f t="shared" si="0"/>
        <v>57.24074074074074</v>
      </c>
      <c r="I31" s="8">
        <f t="shared" si="0"/>
        <v>43.092592592592595</v>
      </c>
      <c r="J31" s="13"/>
      <c r="K31" s="21">
        <v>1</v>
      </c>
      <c r="M31" s="1">
        <v>0.44444444444444442</v>
      </c>
      <c r="N31" s="1">
        <v>168.77777777777777</v>
      </c>
      <c r="O31" s="1">
        <v>63.888888888888886</v>
      </c>
      <c r="P31" s="1">
        <v>38.981481481481481</v>
      </c>
      <c r="Q31" s="1">
        <v>73.462962962962962</v>
      </c>
      <c r="R31" s="1">
        <v>45.851851851851855</v>
      </c>
      <c r="S31" s="1">
        <v>57.24074074074074</v>
      </c>
      <c r="T31" s="1">
        <v>43.092592592592595</v>
      </c>
      <c r="V31" s="1">
        <v>-0.44444444444444442</v>
      </c>
      <c r="W31" s="1">
        <v>-0.77777777777777146</v>
      </c>
      <c r="X31" s="1">
        <v>-15.888888888888886</v>
      </c>
      <c r="Y31" s="1">
        <v>1.8518518518519045E-2</v>
      </c>
      <c r="Z31" s="1">
        <v>-0.96296296296296191</v>
      </c>
      <c r="AA31" s="1">
        <v>-4.8518518518518547</v>
      </c>
      <c r="AB31" s="1">
        <v>-2.7407407407407405</v>
      </c>
      <c r="AC31" s="1">
        <v>-9.2592592592595224E-2</v>
      </c>
      <c r="AE31" s="1">
        <v>-0.24074074074074048</v>
      </c>
      <c r="AF31" s="1">
        <v>-2.2407407407407405</v>
      </c>
      <c r="AG31" s="1">
        <v>0.75925925925925952</v>
      </c>
      <c r="AH31" s="1">
        <v>0.75925925925925952</v>
      </c>
      <c r="AI31" s="1">
        <v>-3.2407407407407405</v>
      </c>
      <c r="AJ31" s="1">
        <v>-1.2407407407407405</v>
      </c>
      <c r="AK31" s="1">
        <v>-2.7407407407407405</v>
      </c>
      <c r="AL31" s="1">
        <v>2.7592592592592595</v>
      </c>
      <c r="AM31" s="1">
        <v>2.2592592592592595</v>
      </c>
      <c r="AN31" s="1">
        <v>-0.24074074074074048</v>
      </c>
      <c r="AO31" s="1">
        <v>0.75925925925925952</v>
      </c>
      <c r="AP31" s="1">
        <v>-0.74074074074074048</v>
      </c>
      <c r="AQ31" s="1">
        <v>-2.2407407407407405</v>
      </c>
      <c r="AR31" s="1">
        <v>1.7592592592592595</v>
      </c>
      <c r="AS31" s="1">
        <v>-0.24074074074074048</v>
      </c>
      <c r="AT31" s="1">
        <v>1.7592592592592595</v>
      </c>
      <c r="AU31" s="1">
        <v>0.75925925925925952</v>
      </c>
      <c r="AV31" s="1">
        <v>1.7592592592592595</v>
      </c>
      <c r="AW31" s="1">
        <v>-1.2407407407407405</v>
      </c>
      <c r="AX31" s="1">
        <v>-2.2407407407407405</v>
      </c>
      <c r="AY31" s="1">
        <v>-0.24074074074074048</v>
      </c>
      <c r="AZ31" s="1">
        <v>-1.2407407407407405</v>
      </c>
      <c r="BA31" s="1">
        <v>-1.2407407407407405</v>
      </c>
      <c r="BB31" s="1">
        <v>3.7592592592592595</v>
      </c>
      <c r="BC31" s="1">
        <v>-1.2407407407407405</v>
      </c>
      <c r="BD31" s="1">
        <v>0.75925925925925952</v>
      </c>
      <c r="BE31" s="1">
        <v>2.7592592592592595</v>
      </c>
    </row>
    <row r="32" spans="1:57" x14ac:dyDescent="0.2">
      <c r="A32" s="5" t="s">
        <v>11</v>
      </c>
      <c r="B32" s="6">
        <f>+VAR(B4:B30)</f>
        <v>0.25641025641025644</v>
      </c>
      <c r="C32" s="23">
        <f t="shared" ref="C32:I32" si="1">+VAR(C4:C30)</f>
        <v>103.94871794871794</v>
      </c>
      <c r="D32" s="6">
        <f t="shared" si="1"/>
        <v>163.87179487179506</v>
      </c>
      <c r="E32" s="6">
        <f t="shared" si="1"/>
        <v>8.2015669515669529</v>
      </c>
      <c r="F32" s="6">
        <f t="shared" si="1"/>
        <v>24.575498575498571</v>
      </c>
      <c r="G32" s="6">
        <f t="shared" si="1"/>
        <v>16.169515669515668</v>
      </c>
      <c r="H32" s="6">
        <f t="shared" si="1"/>
        <v>3.3917378917378898</v>
      </c>
      <c r="I32" s="6">
        <f t="shared" si="1"/>
        <v>9.9622507122507127</v>
      </c>
      <c r="J32" s="11"/>
      <c r="K32" s="21">
        <v>1</v>
      </c>
      <c r="M32" s="1">
        <v>0.44444444444444442</v>
      </c>
      <c r="N32" s="1">
        <v>168.77777777777777</v>
      </c>
      <c r="O32" s="1">
        <v>63.888888888888886</v>
      </c>
      <c r="P32" s="1">
        <v>38.981481481481481</v>
      </c>
      <c r="Q32" s="1">
        <v>73.462962962962962</v>
      </c>
      <c r="R32" s="1">
        <v>45.851851851851855</v>
      </c>
      <c r="S32" s="1">
        <v>57.24074074074074</v>
      </c>
      <c r="T32" s="1">
        <v>43.092592592592595</v>
      </c>
      <c r="V32" s="1">
        <v>0.55555555555555558</v>
      </c>
      <c r="W32" s="1">
        <v>12.222222222222229</v>
      </c>
      <c r="X32" s="1">
        <v>10.111111111111114</v>
      </c>
      <c r="Y32" s="1">
        <v>4.018518518518519</v>
      </c>
      <c r="Z32" s="1">
        <v>0.53703703703703809</v>
      </c>
      <c r="AA32" s="1">
        <v>4.1481481481481453</v>
      </c>
      <c r="AB32" s="1">
        <v>2.7592592592592595</v>
      </c>
      <c r="AC32" s="1">
        <v>3.9074074074074048</v>
      </c>
      <c r="AE32" s="1">
        <v>-3.0925925925925952</v>
      </c>
      <c r="AF32" s="1">
        <v>0.90740740740740478</v>
      </c>
      <c r="AG32" s="1">
        <v>0.90740740740740478</v>
      </c>
      <c r="AH32" s="1">
        <v>0.90740740740740478</v>
      </c>
      <c r="AI32" s="1">
        <v>-3.0925925925925952</v>
      </c>
      <c r="AJ32" s="1">
        <v>-1.0925925925925952</v>
      </c>
      <c r="AK32" s="1">
        <v>-9.2592592592595224E-2</v>
      </c>
      <c r="AL32" s="1">
        <v>3.9074074074074048</v>
      </c>
      <c r="AM32" s="1">
        <v>3.9074074074074048</v>
      </c>
      <c r="AN32" s="1">
        <v>-2.0925925925925952</v>
      </c>
      <c r="AO32" s="1">
        <v>-2.0925925925925952</v>
      </c>
      <c r="AP32" s="1">
        <v>3.9074074074074048</v>
      </c>
      <c r="AQ32" s="1">
        <v>-4.0925925925925952</v>
      </c>
      <c r="AR32" s="1">
        <v>1.9074074074074048</v>
      </c>
      <c r="AS32" s="1">
        <v>-9.2592592592595224E-2</v>
      </c>
      <c r="AT32" s="1">
        <v>-9.2592592592595224E-2</v>
      </c>
      <c r="AU32" s="1">
        <v>1.9074074074074048</v>
      </c>
      <c r="AV32" s="1">
        <v>-1.0925925925925952</v>
      </c>
      <c r="AW32" s="1">
        <v>-2.0925925925925952</v>
      </c>
      <c r="AX32" s="1">
        <v>-5.0925925925925952</v>
      </c>
      <c r="AY32" s="1">
        <v>2.9074074074074048</v>
      </c>
      <c r="AZ32" s="1">
        <v>0.90740740740740478</v>
      </c>
      <c r="BA32" s="1">
        <v>-5.0925925925925952</v>
      </c>
      <c r="BB32" s="1">
        <v>8.9074074074074048</v>
      </c>
      <c r="BC32" s="1">
        <v>-9.2592592592595224E-2</v>
      </c>
      <c r="BD32" s="1">
        <v>1.4074074074074048</v>
      </c>
      <c r="BE32" s="1">
        <v>-3.0925925925925952</v>
      </c>
    </row>
    <row r="33" spans="11:58" x14ac:dyDescent="0.2">
      <c r="K33" s="21">
        <v>1</v>
      </c>
      <c r="M33" s="1">
        <v>0.44444444444444442</v>
      </c>
      <c r="N33" s="1">
        <v>168.77777777777777</v>
      </c>
      <c r="O33" s="1">
        <v>63.888888888888886</v>
      </c>
      <c r="P33" s="1">
        <v>38.981481481481481</v>
      </c>
      <c r="Q33" s="1">
        <v>73.462962962962962</v>
      </c>
      <c r="R33" s="1">
        <v>45.851851851851855</v>
      </c>
      <c r="S33" s="1">
        <v>57.24074074074074</v>
      </c>
      <c r="T33" s="1">
        <v>43.092592592592595</v>
      </c>
      <c r="V33" s="1">
        <v>0.55555555555555558</v>
      </c>
      <c r="W33" s="1">
        <v>14.222222222222229</v>
      </c>
      <c r="X33" s="1">
        <v>10.111111111111114</v>
      </c>
      <c r="Y33" s="1">
        <v>2.018518518518519</v>
      </c>
      <c r="Z33" s="1">
        <v>5.5370370370370381</v>
      </c>
      <c r="AA33" s="1">
        <v>1.6481481481481453</v>
      </c>
      <c r="AB33" s="1">
        <v>2.2592592592592595</v>
      </c>
      <c r="AC33" s="1">
        <v>3.9074074074074048</v>
      </c>
    </row>
    <row r="34" spans="11:58" x14ac:dyDescent="0.2">
      <c r="K34" s="21">
        <v>1</v>
      </c>
      <c r="M34" s="1">
        <v>0.44444444444444442</v>
      </c>
      <c r="N34" s="1">
        <v>168.77777777777777</v>
      </c>
      <c r="O34" s="1">
        <v>63.888888888888886</v>
      </c>
      <c r="P34" s="1">
        <v>38.981481481481481</v>
      </c>
      <c r="Q34" s="1">
        <v>73.462962962962962</v>
      </c>
      <c r="R34" s="1">
        <v>45.851851851851855</v>
      </c>
      <c r="S34" s="1">
        <v>57.24074074074074</v>
      </c>
      <c r="T34" s="1">
        <v>43.092592592592595</v>
      </c>
      <c r="V34" s="1">
        <v>-0.44444444444444442</v>
      </c>
      <c r="W34" s="1">
        <v>-10.777777777777771</v>
      </c>
      <c r="X34" s="1">
        <v>-13.888888888888886</v>
      </c>
      <c r="Y34" s="1">
        <v>-2.981481481481481</v>
      </c>
      <c r="Z34" s="1">
        <v>-4.9629629629629619</v>
      </c>
      <c r="AA34" s="1">
        <v>-1.8518518518518547</v>
      </c>
      <c r="AB34" s="1">
        <v>-0.24074074074074048</v>
      </c>
      <c r="AC34" s="1">
        <v>-2.0925925925925952</v>
      </c>
      <c r="AE34" s="17" t="s">
        <v>27</v>
      </c>
      <c r="AF34" s="17"/>
      <c r="AG34" s="17"/>
      <c r="AH34" s="17"/>
      <c r="AI34" s="17"/>
      <c r="AN34" s="15" t="s">
        <v>29</v>
      </c>
      <c r="AP34" s="17" t="s">
        <v>30</v>
      </c>
      <c r="AQ34" s="17"/>
    </row>
    <row r="35" spans="11:58" x14ac:dyDescent="0.2">
      <c r="K35" s="21">
        <v>1</v>
      </c>
      <c r="M35" s="1">
        <v>0.44444444444444442</v>
      </c>
      <c r="N35" s="1">
        <v>168.77777777777777</v>
      </c>
      <c r="O35" s="1">
        <v>63.888888888888886</v>
      </c>
      <c r="P35" s="1">
        <v>38.981481481481481</v>
      </c>
      <c r="Q35" s="1">
        <v>73.462962962962962</v>
      </c>
      <c r="R35" s="1">
        <v>45.851851851851855</v>
      </c>
      <c r="S35" s="1">
        <v>57.24074074074074</v>
      </c>
      <c r="T35" s="1">
        <v>43.092592592592595</v>
      </c>
      <c r="V35" s="1">
        <v>-0.44444444444444442</v>
      </c>
      <c r="W35" s="1">
        <v>-12.777777777777771</v>
      </c>
      <c r="X35" s="1">
        <v>1.1111111111111143</v>
      </c>
      <c r="Y35" s="1">
        <v>-2.981481481481481</v>
      </c>
      <c r="Z35" s="1">
        <v>-5.4629629629629619</v>
      </c>
      <c r="AA35" s="1">
        <v>0.14814814814814525</v>
      </c>
      <c r="AB35" s="1">
        <v>0.75925925925925952</v>
      </c>
      <c r="AC35" s="1">
        <v>-2.0925925925925952</v>
      </c>
      <c r="AE35" s="1" cm="1">
        <f t="array" ref="AE35:AL42">+MMULT(_xlfn.ANCHORARRAY(AE25),_xlfn.ANCHORARRAY(V25))</f>
        <v>6.666666666666667</v>
      </c>
      <c r="AF35" s="1">
        <v>105.66666666666666</v>
      </c>
      <c r="AG35" s="1">
        <v>124.33333333333333</v>
      </c>
      <c r="AH35" s="1">
        <v>32.222222222222214</v>
      </c>
      <c r="AI35" s="1">
        <v>51.44444444444445</v>
      </c>
      <c r="AJ35" s="1">
        <v>37.777777777777771</v>
      </c>
      <c r="AK35" s="1">
        <v>9.1111111111111107</v>
      </c>
      <c r="AL35" s="1">
        <v>30.388888888888893</v>
      </c>
      <c r="AN35" s="1">
        <f>1/26</f>
        <v>3.8461538461538464E-2</v>
      </c>
      <c r="AP35" s="1" cm="1">
        <f t="array" ref="AP35:AW42">+_xlfn.ANCHORARRAY(AE35)*AN35</f>
        <v>0.25641025641025644</v>
      </c>
      <c r="AQ35" s="1">
        <v>4.0641025641025639</v>
      </c>
      <c r="AR35" s="1">
        <v>4.7820512820512819</v>
      </c>
      <c r="AS35" s="1">
        <v>1.2393162393162391</v>
      </c>
      <c r="AT35" s="1">
        <v>1.9786324786324789</v>
      </c>
      <c r="AU35" s="1">
        <v>1.4529914529914529</v>
      </c>
      <c r="AV35" s="1">
        <v>0.35042735042735046</v>
      </c>
      <c r="AW35" s="1">
        <v>1.1688034188034191</v>
      </c>
    </row>
    <row r="36" spans="11:58" x14ac:dyDescent="0.2">
      <c r="K36" s="21">
        <v>1</v>
      </c>
      <c r="M36" s="1">
        <v>0.44444444444444442</v>
      </c>
      <c r="N36" s="1">
        <v>168.77777777777777</v>
      </c>
      <c r="O36" s="1">
        <v>63.888888888888886</v>
      </c>
      <c r="P36" s="1">
        <v>38.981481481481481</v>
      </c>
      <c r="Q36" s="1">
        <v>73.462962962962962</v>
      </c>
      <c r="R36" s="1">
        <v>45.851851851851855</v>
      </c>
      <c r="S36" s="1">
        <v>57.24074074074074</v>
      </c>
      <c r="T36" s="1">
        <v>43.092592592592595</v>
      </c>
      <c r="V36" s="1">
        <v>0.55555555555555558</v>
      </c>
      <c r="W36" s="1">
        <v>4.2222222222222285</v>
      </c>
      <c r="X36" s="1">
        <v>0.11111111111111427</v>
      </c>
      <c r="Y36" s="1">
        <v>1.018518518518519</v>
      </c>
      <c r="Z36" s="1">
        <v>5.5370370370370381</v>
      </c>
      <c r="AA36" s="1">
        <v>2.1481481481481453</v>
      </c>
      <c r="AB36" s="1">
        <v>-0.74074074074074048</v>
      </c>
      <c r="AC36" s="1">
        <v>3.9074074074074048</v>
      </c>
      <c r="AE36" s="1">
        <v>105.66666666666666</v>
      </c>
      <c r="AF36" s="1">
        <v>2702.6666666666665</v>
      </c>
      <c r="AG36" s="1">
        <v>2817.333333333333</v>
      </c>
      <c r="AH36" s="1">
        <v>704.38888888888903</v>
      </c>
      <c r="AI36" s="1">
        <v>1192.2777777777781</v>
      </c>
      <c r="AJ36" s="1">
        <v>895.11111111111109</v>
      </c>
      <c r="AK36" s="1">
        <v>286.94444444444446</v>
      </c>
      <c r="AL36" s="1">
        <v>706.05555555555566</v>
      </c>
      <c r="AP36" s="1">
        <v>4.0641025641025639</v>
      </c>
      <c r="AQ36" s="1">
        <v>103.94871794871794</v>
      </c>
      <c r="AR36" s="1">
        <v>108.35897435897435</v>
      </c>
      <c r="AS36" s="1">
        <v>27.091880341880348</v>
      </c>
      <c r="AT36" s="1">
        <v>45.856837606837622</v>
      </c>
      <c r="AU36" s="1">
        <v>34.427350427350426</v>
      </c>
      <c r="AV36" s="1">
        <v>11.036324786324787</v>
      </c>
      <c r="AW36" s="1">
        <v>27.15598290598291</v>
      </c>
    </row>
    <row r="37" spans="11:58" x14ac:dyDescent="0.2">
      <c r="K37" s="21">
        <v>1</v>
      </c>
      <c r="M37" s="1">
        <v>0.44444444444444442</v>
      </c>
      <c r="N37" s="1">
        <v>168.77777777777777</v>
      </c>
      <c r="O37" s="1">
        <v>63.888888888888886</v>
      </c>
      <c r="P37" s="1">
        <v>38.981481481481481</v>
      </c>
      <c r="Q37" s="1">
        <v>73.462962962962962</v>
      </c>
      <c r="R37" s="1">
        <v>45.851851851851855</v>
      </c>
      <c r="S37" s="1">
        <v>57.24074074074074</v>
      </c>
      <c r="T37" s="1">
        <v>43.092592592592595</v>
      </c>
      <c r="V37" s="1">
        <v>-0.44444444444444442</v>
      </c>
      <c r="W37" s="1">
        <v>-10.777777777777771</v>
      </c>
      <c r="X37" s="1">
        <v>-20.888888888888886</v>
      </c>
      <c r="Y37" s="1">
        <v>-2.981481481481481</v>
      </c>
      <c r="Z37" s="1">
        <v>-5.4629629629629619</v>
      </c>
      <c r="AA37" s="1">
        <v>-2.8518518518518547</v>
      </c>
      <c r="AB37" s="1">
        <v>-2.2407407407407405</v>
      </c>
      <c r="AC37" s="1">
        <v>-4.0925925925925952</v>
      </c>
      <c r="AE37" s="1">
        <v>124.33333333333333</v>
      </c>
      <c r="AF37" s="1">
        <v>2817.333333333333</v>
      </c>
      <c r="AG37" s="1">
        <v>4260.6666666666661</v>
      </c>
      <c r="AH37" s="1">
        <v>809.94444444444446</v>
      </c>
      <c r="AI37" s="1">
        <v>1353.3888888888889</v>
      </c>
      <c r="AJ37" s="1">
        <v>1123.5555555555557</v>
      </c>
      <c r="AK37" s="1">
        <v>379.72222222222223</v>
      </c>
      <c r="AL37" s="1">
        <v>754.77777777777783</v>
      </c>
      <c r="AP37" s="1">
        <v>4.7820512820512819</v>
      </c>
      <c r="AQ37" s="1">
        <v>108.35897435897435</v>
      </c>
      <c r="AR37" s="1">
        <v>163.87179487179486</v>
      </c>
      <c r="AS37" s="1">
        <v>31.151709401709404</v>
      </c>
      <c r="AT37" s="1">
        <v>52.053418803418808</v>
      </c>
      <c r="AU37" s="1">
        <v>43.213675213675216</v>
      </c>
      <c r="AV37" s="1">
        <v>14.604700854700855</v>
      </c>
      <c r="AW37" s="1">
        <v>29.029914529914535</v>
      </c>
      <c r="AY37" s="1" t="s">
        <v>31</v>
      </c>
    </row>
    <row r="38" spans="11:58" x14ac:dyDescent="0.2">
      <c r="K38" s="21">
        <v>1</v>
      </c>
      <c r="M38" s="1">
        <v>0.44444444444444442</v>
      </c>
      <c r="N38" s="1">
        <v>168.77777777777777</v>
      </c>
      <c r="O38" s="1">
        <v>63.888888888888886</v>
      </c>
      <c r="P38" s="1">
        <v>38.981481481481481</v>
      </c>
      <c r="Q38" s="1">
        <v>73.462962962962962</v>
      </c>
      <c r="R38" s="1">
        <v>45.851851851851855</v>
      </c>
      <c r="S38" s="1">
        <v>57.24074074074074</v>
      </c>
      <c r="T38" s="1">
        <v>43.092592592592595</v>
      </c>
      <c r="V38" s="1">
        <v>0.55555555555555558</v>
      </c>
      <c r="W38" s="1">
        <v>9.2222222222222285</v>
      </c>
      <c r="X38" s="1">
        <v>10.111111111111114</v>
      </c>
      <c r="Y38" s="1">
        <v>3.018518518518519</v>
      </c>
      <c r="Z38" s="1">
        <v>1.5370370370370381</v>
      </c>
      <c r="AA38" s="1">
        <v>4.1481481481481453</v>
      </c>
      <c r="AB38" s="1">
        <v>1.7592592592592595</v>
      </c>
      <c r="AC38" s="1">
        <v>1.9074074074074048</v>
      </c>
      <c r="AE38" s="1">
        <v>32.222222222222214</v>
      </c>
      <c r="AF38" s="1">
        <v>704.38888888888903</v>
      </c>
      <c r="AG38" s="1">
        <v>809.94444444444446</v>
      </c>
      <c r="AH38" s="1">
        <v>213.24074074074079</v>
      </c>
      <c r="AI38" s="1">
        <v>314.48148148148147</v>
      </c>
      <c r="AJ38" s="1">
        <v>238.92592592592595</v>
      </c>
      <c r="AK38" s="1">
        <v>75.120370370370367</v>
      </c>
      <c r="AL38" s="1">
        <v>200.04629629629625</v>
      </c>
      <c r="AP38" s="1">
        <v>1.2393162393162391</v>
      </c>
      <c r="AQ38" s="1">
        <v>27.091880341880348</v>
      </c>
      <c r="AR38" s="1">
        <v>31.151709401709404</v>
      </c>
      <c r="AS38" s="1">
        <v>8.2015669515669547</v>
      </c>
      <c r="AT38" s="1">
        <v>12.095441595441596</v>
      </c>
      <c r="AU38" s="1">
        <v>9.1894586894586912</v>
      </c>
      <c r="AV38" s="1">
        <v>2.8892450142450143</v>
      </c>
      <c r="AW38" s="1">
        <v>7.6940883190883174</v>
      </c>
    </row>
    <row r="39" spans="11:58" x14ac:dyDescent="0.2">
      <c r="K39" s="21">
        <v>1</v>
      </c>
      <c r="M39" s="1">
        <v>0.44444444444444442</v>
      </c>
      <c r="N39" s="1">
        <v>168.77777777777777</v>
      </c>
      <c r="O39" s="1">
        <v>63.888888888888886</v>
      </c>
      <c r="P39" s="1">
        <v>38.981481481481481</v>
      </c>
      <c r="Q39" s="1">
        <v>73.462962962962962</v>
      </c>
      <c r="R39" s="1">
        <v>45.851851851851855</v>
      </c>
      <c r="S39" s="1">
        <v>57.24074074074074</v>
      </c>
      <c r="T39" s="1">
        <v>43.092592592592595</v>
      </c>
      <c r="V39" s="1">
        <v>0.55555555555555558</v>
      </c>
      <c r="W39" s="1">
        <v>12.222222222222229</v>
      </c>
      <c r="X39" s="1">
        <v>12.111111111111114</v>
      </c>
      <c r="Y39" s="1">
        <v>4.018518518518519</v>
      </c>
      <c r="Z39" s="1">
        <v>9.5370370370370381</v>
      </c>
      <c r="AA39" s="1">
        <v>5.1481481481481453</v>
      </c>
      <c r="AB39" s="1">
        <v>-0.24074074074074048</v>
      </c>
      <c r="AC39" s="1">
        <v>-9.2592592592595224E-2</v>
      </c>
      <c r="AE39" s="1">
        <v>51.44444444444445</v>
      </c>
      <c r="AF39" s="1">
        <v>1192.2777777777781</v>
      </c>
      <c r="AG39" s="1">
        <v>1353.3888888888889</v>
      </c>
      <c r="AH39" s="1">
        <v>314.48148148148147</v>
      </c>
      <c r="AI39" s="1">
        <v>638.96296296296282</v>
      </c>
      <c r="AJ39" s="1">
        <v>415.35185185185179</v>
      </c>
      <c r="AK39" s="1">
        <v>112.74074074074073</v>
      </c>
      <c r="AL39" s="1">
        <v>311.34259259259255</v>
      </c>
      <c r="AP39" s="1">
        <v>1.9786324786324789</v>
      </c>
      <c r="AQ39" s="1">
        <v>45.856837606837622</v>
      </c>
      <c r="AR39" s="1">
        <v>52.053418803418808</v>
      </c>
      <c r="AS39" s="1">
        <v>12.095441595441596</v>
      </c>
      <c r="AT39" s="1">
        <v>24.575498575498571</v>
      </c>
      <c r="AU39" s="1">
        <v>15.975071225071224</v>
      </c>
      <c r="AV39" s="1">
        <v>4.3361823361823362</v>
      </c>
      <c r="AW39" s="1">
        <v>11.974715099715098</v>
      </c>
    </row>
    <row r="40" spans="11:58" x14ac:dyDescent="0.2">
      <c r="K40" s="22">
        <v>1</v>
      </c>
      <c r="M40" s="1">
        <v>0.44444444444444442</v>
      </c>
      <c r="N40" s="1">
        <v>168.77777777777777</v>
      </c>
      <c r="O40" s="1">
        <v>63.888888888888886</v>
      </c>
      <c r="P40" s="1">
        <v>38.981481481481481</v>
      </c>
      <c r="Q40" s="1">
        <v>73.462962962962962</v>
      </c>
      <c r="R40" s="1">
        <v>45.851851851851855</v>
      </c>
      <c r="S40" s="1">
        <v>57.24074074074074</v>
      </c>
      <c r="T40" s="1">
        <v>43.092592592592595</v>
      </c>
      <c r="V40" s="1">
        <v>0.55555555555555558</v>
      </c>
      <c r="W40" s="1">
        <v>13.222222222222229</v>
      </c>
      <c r="X40" s="1">
        <v>27.111111111111114</v>
      </c>
      <c r="Y40" s="1">
        <v>2.018518518518519</v>
      </c>
      <c r="Z40" s="1">
        <v>9.5370370370370381</v>
      </c>
      <c r="AA40" s="1">
        <v>7.1481481481481453</v>
      </c>
      <c r="AB40" s="1">
        <v>1.7592592592592595</v>
      </c>
      <c r="AC40" s="1">
        <v>-9.2592592592595224E-2</v>
      </c>
      <c r="AE40" s="1">
        <v>37.777777777777771</v>
      </c>
      <c r="AF40" s="1">
        <v>895.11111111111109</v>
      </c>
      <c r="AG40" s="1">
        <v>1123.5555555555557</v>
      </c>
      <c r="AH40" s="1">
        <v>238.92592592592595</v>
      </c>
      <c r="AI40" s="1">
        <v>415.35185185185179</v>
      </c>
      <c r="AJ40" s="1">
        <v>420.40740740740739</v>
      </c>
      <c r="AK40" s="1">
        <v>120.71296296296296</v>
      </c>
      <c r="AL40" s="1">
        <v>208.12037037037041</v>
      </c>
      <c r="AP40" s="1">
        <v>1.4529914529914529</v>
      </c>
      <c r="AQ40" s="1">
        <v>34.427350427350426</v>
      </c>
      <c r="AR40" s="1">
        <v>43.213675213675216</v>
      </c>
      <c r="AS40" s="1">
        <v>9.1894586894586912</v>
      </c>
      <c r="AT40" s="1">
        <v>15.975071225071224</v>
      </c>
      <c r="AU40" s="1">
        <v>16.169515669515668</v>
      </c>
      <c r="AV40" s="1">
        <v>4.642806267806268</v>
      </c>
      <c r="AW40" s="1">
        <v>8.0046296296296315</v>
      </c>
    </row>
    <row r="41" spans="11:58" x14ac:dyDescent="0.2">
      <c r="M41" s="1">
        <v>0.44444444444444442</v>
      </c>
      <c r="N41" s="1">
        <v>168.77777777777777</v>
      </c>
      <c r="O41" s="1">
        <v>63.888888888888886</v>
      </c>
      <c r="P41" s="1">
        <v>38.981481481481481</v>
      </c>
      <c r="Q41" s="1">
        <v>73.462962962962962</v>
      </c>
      <c r="R41" s="1">
        <v>45.851851851851855</v>
      </c>
      <c r="S41" s="1">
        <v>57.24074074074074</v>
      </c>
      <c r="T41" s="1">
        <v>43.092592592592595</v>
      </c>
      <c r="V41" s="1">
        <v>0.55555555555555558</v>
      </c>
      <c r="W41" s="1">
        <v>7.2222222222222285</v>
      </c>
      <c r="X41" s="1">
        <v>9.1111111111111143</v>
      </c>
      <c r="Y41" s="1">
        <v>3.018518518518519</v>
      </c>
      <c r="Z41" s="1">
        <v>4.5370370370370381</v>
      </c>
      <c r="AA41" s="1">
        <v>2.1481481481481453</v>
      </c>
      <c r="AB41" s="1">
        <v>0.75925925925925952</v>
      </c>
      <c r="AC41" s="1">
        <v>1.9074074074074048</v>
      </c>
      <c r="AE41" s="1">
        <v>9.1111111111111107</v>
      </c>
      <c r="AF41" s="1">
        <v>286.94444444444446</v>
      </c>
      <c r="AG41" s="1">
        <v>379.72222222222223</v>
      </c>
      <c r="AH41" s="1">
        <v>75.120370370370367</v>
      </c>
      <c r="AI41" s="1">
        <v>112.74074074074073</v>
      </c>
      <c r="AJ41" s="1">
        <v>120.71296296296296</v>
      </c>
      <c r="AK41" s="1">
        <v>88.185185185185134</v>
      </c>
      <c r="AL41" s="1">
        <v>83.898148148148181</v>
      </c>
      <c r="AP41" s="1">
        <v>0.35042735042735046</v>
      </c>
      <c r="AQ41" s="1">
        <v>11.036324786324787</v>
      </c>
      <c r="AR41" s="1">
        <v>14.604700854700855</v>
      </c>
      <c r="AS41" s="1">
        <v>2.8892450142450143</v>
      </c>
      <c r="AT41" s="1">
        <v>4.3361823361823362</v>
      </c>
      <c r="AU41" s="1">
        <v>4.642806267806268</v>
      </c>
      <c r="AV41" s="1">
        <v>3.3917378917378898</v>
      </c>
      <c r="AW41" s="1">
        <v>3.2268518518518534</v>
      </c>
    </row>
    <row r="42" spans="11:58" x14ac:dyDescent="0.2">
      <c r="M42" s="1">
        <v>0.44444444444444442</v>
      </c>
      <c r="N42" s="1">
        <v>168.77777777777777</v>
      </c>
      <c r="O42" s="1">
        <v>63.888888888888886</v>
      </c>
      <c r="P42" s="1">
        <v>38.981481481481481</v>
      </c>
      <c r="Q42" s="1">
        <v>73.462962962962962</v>
      </c>
      <c r="R42" s="1">
        <v>45.851851851851855</v>
      </c>
      <c r="S42" s="1">
        <v>57.24074074074074</v>
      </c>
      <c r="T42" s="1">
        <v>43.092592592592595</v>
      </c>
      <c r="V42" s="1">
        <v>-0.44444444444444442</v>
      </c>
      <c r="W42" s="1">
        <v>-6.7777777777777715</v>
      </c>
      <c r="X42" s="1">
        <v>4.1111111111111143</v>
      </c>
      <c r="Y42" s="1">
        <v>1.8518518518519045E-2</v>
      </c>
      <c r="Z42" s="1">
        <v>-1.4629629629629619</v>
      </c>
      <c r="AA42" s="1">
        <v>-1.8518518518518547</v>
      </c>
      <c r="AB42" s="1">
        <v>1.7592592592592595</v>
      </c>
      <c r="AC42" s="1">
        <v>-1.0925925925925952</v>
      </c>
      <c r="AE42" s="1">
        <v>30.388888888888893</v>
      </c>
      <c r="AF42" s="1">
        <v>706.05555555555566</v>
      </c>
      <c r="AG42" s="1">
        <v>754.77777777777783</v>
      </c>
      <c r="AH42" s="1">
        <v>200.04629629629625</v>
      </c>
      <c r="AI42" s="1">
        <v>311.34259259259255</v>
      </c>
      <c r="AJ42" s="1">
        <v>208.12037037037041</v>
      </c>
      <c r="AK42" s="1">
        <v>83.898148148148181</v>
      </c>
      <c r="AL42" s="1">
        <v>259.01851851851853</v>
      </c>
      <c r="AP42" s="1">
        <v>1.1688034188034191</v>
      </c>
      <c r="AQ42" s="1">
        <v>27.15598290598291</v>
      </c>
      <c r="AR42" s="1">
        <v>29.029914529914535</v>
      </c>
      <c r="AS42" s="1">
        <v>7.6940883190883174</v>
      </c>
      <c r="AT42" s="1">
        <v>11.974715099715098</v>
      </c>
      <c r="AU42" s="1">
        <v>8.0046296296296315</v>
      </c>
      <c r="AV42" s="1">
        <v>3.2268518518518534</v>
      </c>
      <c r="AW42" s="1">
        <v>9.9622507122507127</v>
      </c>
    </row>
    <row r="43" spans="11:58" x14ac:dyDescent="0.2">
      <c r="M43" s="1">
        <v>0.44444444444444442</v>
      </c>
      <c r="N43" s="1">
        <v>168.77777777777777</v>
      </c>
      <c r="O43" s="1">
        <v>63.888888888888886</v>
      </c>
      <c r="P43" s="1">
        <v>38.981481481481481</v>
      </c>
      <c r="Q43" s="1">
        <v>73.462962962962962</v>
      </c>
      <c r="R43" s="1">
        <v>45.851851851851855</v>
      </c>
      <c r="S43" s="1">
        <v>57.24074074074074</v>
      </c>
      <c r="T43" s="1">
        <v>43.092592592592595</v>
      </c>
      <c r="V43" s="1">
        <v>-0.44444444444444442</v>
      </c>
      <c r="W43" s="1">
        <v>-12.777777777777771</v>
      </c>
      <c r="X43" s="1">
        <v>-11.888888888888886</v>
      </c>
      <c r="Y43" s="1">
        <v>-2.981481481481481</v>
      </c>
      <c r="Z43" s="1">
        <v>-6.4629629629629619</v>
      </c>
      <c r="AA43" s="1">
        <v>-9.8518518518518547</v>
      </c>
      <c r="AB43" s="1">
        <v>-1.2407407407407405</v>
      </c>
      <c r="AC43" s="1">
        <v>-2.0925925925925952</v>
      </c>
    </row>
    <row r="44" spans="11:58" x14ac:dyDescent="0.2">
      <c r="M44" s="1">
        <v>0.44444444444444442</v>
      </c>
      <c r="N44" s="1">
        <v>168.77777777777777</v>
      </c>
      <c r="O44" s="1">
        <v>63.888888888888886</v>
      </c>
      <c r="P44" s="1">
        <v>38.981481481481481</v>
      </c>
      <c r="Q44" s="1">
        <v>73.462962962962962</v>
      </c>
      <c r="R44" s="1">
        <v>45.851851851851855</v>
      </c>
      <c r="S44" s="1">
        <v>57.24074074074074</v>
      </c>
      <c r="T44" s="1">
        <v>43.092592592592595</v>
      </c>
      <c r="V44" s="1">
        <v>-0.44444444444444442</v>
      </c>
      <c r="W44" s="1">
        <v>-16.777777777777771</v>
      </c>
      <c r="X44" s="1">
        <v>-18.888888888888886</v>
      </c>
      <c r="Y44" s="1">
        <v>-4.981481481481481</v>
      </c>
      <c r="Z44" s="1">
        <v>-7.4629629629629619</v>
      </c>
      <c r="AA44" s="1">
        <v>-5.8518518518518547</v>
      </c>
      <c r="AB44" s="1">
        <v>-2.2407407407407405</v>
      </c>
      <c r="AC44" s="1">
        <v>-5.0925925925925952</v>
      </c>
      <c r="AP44" s="1" t="s">
        <v>32</v>
      </c>
      <c r="AY44" s="1" t="s">
        <v>33</v>
      </c>
    </row>
    <row r="45" spans="11:58" x14ac:dyDescent="0.2">
      <c r="M45" s="1">
        <v>0.44444444444444442</v>
      </c>
      <c r="N45" s="1">
        <v>168.77777777777777</v>
      </c>
      <c r="O45" s="1">
        <v>63.888888888888886</v>
      </c>
      <c r="P45" s="1">
        <v>38.981481481481481</v>
      </c>
      <c r="Q45" s="1">
        <v>73.462962962962962</v>
      </c>
      <c r="R45" s="1">
        <v>45.851851851851855</v>
      </c>
      <c r="S45" s="1">
        <v>57.24074074074074</v>
      </c>
      <c r="T45" s="1">
        <v>43.092592592592595</v>
      </c>
      <c r="V45" s="1">
        <v>0.55555555555555558</v>
      </c>
      <c r="W45" s="1">
        <v>12.222222222222229</v>
      </c>
      <c r="X45" s="1">
        <v>16.111111111111114</v>
      </c>
      <c r="Y45" s="1">
        <v>4.018518518518519</v>
      </c>
      <c r="Z45" s="1">
        <v>2.5370370370370381</v>
      </c>
      <c r="AA45" s="1">
        <v>3.1481481481481453</v>
      </c>
      <c r="AB45" s="1">
        <v>-0.24074074074074048</v>
      </c>
      <c r="AC45" s="1">
        <v>2.9074074074074048</v>
      </c>
      <c r="AP45" s="1">
        <f>0.256410256410256^(1/2)</f>
        <v>0.50636968354183287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Y45" s="1">
        <f>1/0.506369683541833</f>
        <v>1.9748417658131512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1:58" x14ac:dyDescent="0.2">
      <c r="M46" s="1">
        <v>0.44444444444444442</v>
      </c>
      <c r="N46" s="1">
        <v>168.77777777777777</v>
      </c>
      <c r="O46" s="1">
        <v>63.888888888888886</v>
      </c>
      <c r="P46" s="1">
        <v>38.981481481481481</v>
      </c>
      <c r="Q46" s="1">
        <v>73.462962962962962</v>
      </c>
      <c r="R46" s="1">
        <v>45.851851851851855</v>
      </c>
      <c r="S46" s="1">
        <v>57.24074074074074</v>
      </c>
      <c r="T46" s="1">
        <v>43.092592592592595</v>
      </c>
      <c r="V46" s="1">
        <v>0.55555555555555558</v>
      </c>
      <c r="W46" s="1">
        <v>4.2222222222222285</v>
      </c>
      <c r="X46" s="1">
        <v>5.1111111111111143</v>
      </c>
      <c r="Y46" s="1">
        <v>2.018518518518519</v>
      </c>
      <c r="Z46" s="1">
        <v>0.53703703703703809</v>
      </c>
      <c r="AA46" s="1">
        <v>2.1481481481481453</v>
      </c>
      <c r="AB46" s="1">
        <v>-1.2407407407407405</v>
      </c>
      <c r="AC46" s="1">
        <v>0.90740740740740478</v>
      </c>
      <c r="AP46" s="1">
        <v>0</v>
      </c>
      <c r="AQ46" s="1">
        <f>103.948717948718^(1/2)</f>
        <v>10.195524407734895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Y46" s="1">
        <v>0</v>
      </c>
      <c r="AZ46" s="1">
        <f>1/10.1955244077349</f>
        <v>9.8082252565777142E-2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1:58" x14ac:dyDescent="0.2">
      <c r="M47" s="1">
        <v>0.44444444444444442</v>
      </c>
      <c r="N47" s="1">
        <v>168.77777777777777</v>
      </c>
      <c r="O47" s="1">
        <v>63.888888888888886</v>
      </c>
      <c r="P47" s="1">
        <v>38.981481481481481</v>
      </c>
      <c r="Q47" s="1">
        <v>73.462962962962962</v>
      </c>
      <c r="R47" s="1">
        <v>45.851851851851855</v>
      </c>
      <c r="S47" s="1">
        <v>57.24074074074074</v>
      </c>
      <c r="T47" s="1">
        <v>43.092592592592595</v>
      </c>
      <c r="V47" s="1">
        <v>-0.44444444444444442</v>
      </c>
      <c r="W47" s="1">
        <v>-13.777777777777771</v>
      </c>
      <c r="X47" s="1">
        <v>-10.888888888888886</v>
      </c>
      <c r="Y47" s="1">
        <v>-2.981481481481481</v>
      </c>
      <c r="Z47" s="1">
        <v>-6.4629629629629619</v>
      </c>
      <c r="AA47" s="1">
        <v>-2.8518518518518547</v>
      </c>
      <c r="AB47" s="1">
        <v>-1.2407407407407405</v>
      </c>
      <c r="AC47" s="1">
        <v>-5.0925925925925952</v>
      </c>
      <c r="AP47" s="1">
        <v>0</v>
      </c>
      <c r="AQ47" s="1">
        <v>0</v>
      </c>
      <c r="AR47" s="1">
        <f>163.871794871795^(1/2)</f>
        <v>12.801241926930176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Y47" s="1">
        <v>0</v>
      </c>
      <c r="AZ47" s="1">
        <v>0</v>
      </c>
      <c r="BA47" s="1">
        <f>1/12.8012419269302</f>
        <v>7.8117420614970359E-2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8" spans="11:58" x14ac:dyDescent="0.2">
      <c r="M48" s="1">
        <v>0.44444444444444442</v>
      </c>
      <c r="N48" s="1">
        <v>168.77777777777777</v>
      </c>
      <c r="O48" s="1">
        <v>63.888888888888886</v>
      </c>
      <c r="P48" s="1">
        <v>38.981481481481481</v>
      </c>
      <c r="Q48" s="1">
        <v>73.462962962962962</v>
      </c>
      <c r="R48" s="1">
        <v>45.851851851851855</v>
      </c>
      <c r="S48" s="1">
        <v>57.24074074074074</v>
      </c>
      <c r="T48" s="1">
        <v>43.092592592592595</v>
      </c>
      <c r="V48" s="1">
        <v>0.55555555555555558</v>
      </c>
      <c r="W48" s="1">
        <v>20.222222222222229</v>
      </c>
      <c r="X48" s="1">
        <v>23.111111111111114</v>
      </c>
      <c r="Y48" s="1">
        <v>6.018518518518519</v>
      </c>
      <c r="Z48" s="1">
        <v>8.5370370370370381</v>
      </c>
      <c r="AA48" s="1">
        <v>7.1481481481481453</v>
      </c>
      <c r="AB48" s="1">
        <v>3.7592592592592595</v>
      </c>
      <c r="AC48" s="1">
        <v>8.9074074074074048</v>
      </c>
      <c r="AP48" s="1">
        <v>0</v>
      </c>
      <c r="AQ48" s="1">
        <v>0</v>
      </c>
      <c r="AR48" s="1">
        <v>0</v>
      </c>
      <c r="AS48" s="1">
        <f>8.20156695156695^(1/2)</f>
        <v>2.8638378011973633</v>
      </c>
      <c r="AT48" s="1">
        <v>0</v>
      </c>
      <c r="AU48" s="1">
        <v>0</v>
      </c>
      <c r="AV48" s="1">
        <v>0</v>
      </c>
      <c r="AW48" s="1">
        <v>0</v>
      </c>
      <c r="AY48" s="1">
        <v>0</v>
      </c>
      <c r="AZ48" s="1">
        <v>0</v>
      </c>
      <c r="BA48" s="1">
        <v>0</v>
      </c>
      <c r="BB48" s="1">
        <f>1/2.86383780119736</f>
        <v>0.3491817866158145</v>
      </c>
      <c r="BC48" s="1">
        <v>0</v>
      </c>
      <c r="BD48" s="1">
        <v>0</v>
      </c>
      <c r="BE48" s="1">
        <v>0</v>
      </c>
      <c r="BF48" s="1">
        <v>0</v>
      </c>
    </row>
    <row r="49" spans="13:58" x14ac:dyDescent="0.2">
      <c r="M49" s="1">
        <v>0.44444444444444442</v>
      </c>
      <c r="N49" s="1">
        <v>168.77777777777777</v>
      </c>
      <c r="O49" s="1">
        <v>63.888888888888886</v>
      </c>
      <c r="P49" s="1">
        <v>38.981481481481481</v>
      </c>
      <c r="Q49" s="1">
        <v>73.462962962962962</v>
      </c>
      <c r="R49" s="1">
        <v>45.851851851851855</v>
      </c>
      <c r="S49" s="1">
        <v>57.24074074074074</v>
      </c>
      <c r="T49" s="1">
        <v>43.092592592592595</v>
      </c>
      <c r="V49" s="1">
        <v>-0.44444444444444442</v>
      </c>
      <c r="W49" s="1">
        <v>1.2222222222222285</v>
      </c>
      <c r="X49" s="1">
        <v>6.1111111111111143</v>
      </c>
      <c r="Y49" s="1">
        <v>-0.98148148148148096</v>
      </c>
      <c r="Z49" s="1">
        <v>-0.46296296296296191</v>
      </c>
      <c r="AA49" s="1">
        <v>-0.85185185185185475</v>
      </c>
      <c r="AB49" s="1">
        <v>-1.2407407407407405</v>
      </c>
      <c r="AC49" s="1">
        <v>-9.2592592592595224E-2</v>
      </c>
      <c r="AP49" s="1">
        <v>0</v>
      </c>
      <c r="AQ49" s="1">
        <v>0</v>
      </c>
      <c r="AR49" s="1">
        <v>0</v>
      </c>
      <c r="AS49" s="1">
        <v>0</v>
      </c>
      <c r="AT49" s="1">
        <f>24.5754985754986^(1/2)</f>
        <v>4.9573681097431725</v>
      </c>
      <c r="AU49" s="1">
        <v>0</v>
      </c>
      <c r="AV49" s="1">
        <v>0</v>
      </c>
      <c r="AW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f>1/4.95736810974317</f>
        <v>0.20171994047297159</v>
      </c>
      <c r="BD49" s="1">
        <v>0</v>
      </c>
      <c r="BE49" s="1">
        <v>0</v>
      </c>
      <c r="BF49" s="1">
        <v>0</v>
      </c>
    </row>
    <row r="50" spans="13:58" x14ac:dyDescent="0.2">
      <c r="M50" s="1">
        <v>0.44444444444444442</v>
      </c>
      <c r="N50" s="1">
        <v>168.77777777777777</v>
      </c>
      <c r="O50" s="1">
        <v>63.888888888888886</v>
      </c>
      <c r="P50" s="1">
        <v>38.981481481481481</v>
      </c>
      <c r="Q50" s="1">
        <v>73.462962962962962</v>
      </c>
      <c r="R50" s="1">
        <v>45.851851851851855</v>
      </c>
      <c r="S50" s="1">
        <v>57.24074074074074</v>
      </c>
      <c r="T50" s="1">
        <v>43.092592592592595</v>
      </c>
      <c r="V50" s="1">
        <v>0.55555555555555558</v>
      </c>
      <c r="W50" s="1">
        <v>1.2222222222222285</v>
      </c>
      <c r="X50" s="1">
        <v>3.1111111111111143</v>
      </c>
      <c r="Y50" s="1">
        <v>1.018518518518519</v>
      </c>
      <c r="Z50" s="1">
        <v>3.5370370370370381</v>
      </c>
      <c r="AA50" s="1">
        <v>0.64814814814814525</v>
      </c>
      <c r="AB50" s="1">
        <v>0.75925925925925952</v>
      </c>
      <c r="AC50" s="1">
        <v>1.4074074074074048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f>16.1695156695157^(1/2)</f>
        <v>4.0211336299003673</v>
      </c>
      <c r="AV50" s="1">
        <v>0</v>
      </c>
      <c r="AW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f>1/4.02113362990037</f>
        <v>0.24868609005286318</v>
      </c>
      <c r="BE50" s="1">
        <v>0</v>
      </c>
      <c r="BF50" s="1">
        <v>0</v>
      </c>
    </row>
    <row r="51" spans="13:58" x14ac:dyDescent="0.2">
      <c r="M51" s="1">
        <v>0.44444444444444442</v>
      </c>
      <c r="N51" s="1">
        <v>168.77777777777777</v>
      </c>
      <c r="O51" s="1">
        <v>63.888888888888886</v>
      </c>
      <c r="P51" s="1">
        <v>38.981481481481481</v>
      </c>
      <c r="Q51" s="1">
        <v>73.462962962962962</v>
      </c>
      <c r="R51" s="1">
        <v>45.851851851851855</v>
      </c>
      <c r="S51" s="1">
        <v>57.24074074074074</v>
      </c>
      <c r="T51" s="1">
        <v>43.092592592592595</v>
      </c>
      <c r="V51" s="1">
        <v>-0.44444444444444442</v>
      </c>
      <c r="W51" s="1">
        <v>-0.77777777777777146</v>
      </c>
      <c r="X51" s="1">
        <v>-7.8888888888888857</v>
      </c>
      <c r="Y51" s="1">
        <v>-1.481481481481481</v>
      </c>
      <c r="Z51" s="1">
        <v>-2.9629629629629619</v>
      </c>
      <c r="AA51" s="1">
        <v>2.1481481481481453</v>
      </c>
      <c r="AB51" s="1">
        <v>2.7592592592592595</v>
      </c>
      <c r="AC51" s="1">
        <v>-3.0925925925925952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f>3.39173789173789^(1/2)</f>
        <v>1.841667150094688</v>
      </c>
      <c r="AW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f>1/1.84166715009469</f>
        <v>0.54298628280826133</v>
      </c>
      <c r="BF51" s="1">
        <v>0</v>
      </c>
    </row>
    <row r="52" spans="13:58" x14ac:dyDescent="0.2"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f>9.96225071225071^(1/2)</f>
        <v>3.1563033302030257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f>1/3.15630333020303</f>
        <v>0.31682632984950615</v>
      </c>
    </row>
    <row r="55" spans="13:58" x14ac:dyDescent="0.2">
      <c r="AP55" s="1" t="s">
        <v>34</v>
      </c>
      <c r="AY55" s="1" t="s">
        <v>35</v>
      </c>
    </row>
    <row r="56" spans="13:58" x14ac:dyDescent="0.2">
      <c r="AP56" s="1" cm="1">
        <f t="array" ref="AP56:AW63">+MMULT(AY45:BF52,_xlfn.ANCHORARRAY(AP35))</f>
        <v>0.50636968354183365</v>
      </c>
      <c r="AQ56" s="1">
        <v>8.0259594841380633</v>
      </c>
      <c r="AR56" s="1">
        <v>9.4437945980551969</v>
      </c>
      <c r="AS56" s="1">
        <v>2.4474534704521957</v>
      </c>
      <c r="AT56" s="1">
        <v>3.9074860579978168</v>
      </c>
      <c r="AU56" s="1">
        <v>2.8694282067370573</v>
      </c>
      <c r="AV56" s="1">
        <v>0.69203856750717274</v>
      </c>
      <c r="AW56" s="1">
        <v>2.3082018074781923</v>
      </c>
      <c r="AY56" s="1" cm="1">
        <f t="array" ref="AY56:BF63">+MMULT(_xlfn.ANCHORARRAY(AP56),AY45:BF52)</f>
        <v>1.0000000000000013</v>
      </c>
      <c r="AZ56" s="1">
        <v>0.78720418520592395</v>
      </c>
      <c r="BA56" s="1">
        <v>0.7377248748176628</v>
      </c>
      <c r="BB56" s="1">
        <v>0.85460617547157325</v>
      </c>
      <c r="BC56" s="1">
        <v>0.78821785501828601</v>
      </c>
      <c r="BD56" s="1">
        <v>0.71358688142083759</v>
      </c>
      <c r="BE56" s="1">
        <v>0.37576744933067374</v>
      </c>
      <c r="BF56" s="1">
        <v>0.73129910721531199</v>
      </c>
    </row>
    <row r="57" spans="13:58" x14ac:dyDescent="0.2">
      <c r="AP57" s="1">
        <v>0.39861633414553016</v>
      </c>
      <c r="AQ57" s="1">
        <v>10.195524407734885</v>
      </c>
      <c r="AR57" s="1">
        <v>10.628092290845492</v>
      </c>
      <c r="AS57" s="1">
        <v>2.6572326501741212</v>
      </c>
      <c r="AT57" s="1">
        <v>4.4977419280216751</v>
      </c>
      <c r="AU57" s="1">
        <v>3.3767120797859</v>
      </c>
      <c r="AV57" s="1">
        <v>1.0824675950902543</v>
      </c>
      <c r="AW57" s="1">
        <v>2.6635199740565425</v>
      </c>
      <c r="AY57" s="1">
        <v>0.78720418520592395</v>
      </c>
      <c r="AZ57" s="1">
        <v>0.99999999999999833</v>
      </c>
      <c r="BA57" s="1">
        <v>0.83023915581870122</v>
      </c>
      <c r="BB57" s="1">
        <v>0.92785724424167526</v>
      </c>
      <c r="BC57" s="1">
        <v>0.90728423398332081</v>
      </c>
      <c r="BD57" s="1">
        <v>0.83974132435622728</v>
      </c>
      <c r="BE57" s="1">
        <v>0.58776505571845528</v>
      </c>
      <c r="BF57" s="1">
        <v>0.84387325786118617</v>
      </c>
    </row>
    <row r="58" spans="13:58" x14ac:dyDescent="0.2">
      <c r="AP58" s="1">
        <v>0.37356151140235827</v>
      </c>
      <c r="AQ58" s="1">
        <v>8.4647235774067884</v>
      </c>
      <c r="AR58" s="1">
        <v>12.801241926930143</v>
      </c>
      <c r="AS58" s="1">
        <v>2.4334911862086601</v>
      </c>
      <c r="AT58" s="1">
        <v>4.0662788111138743</v>
      </c>
      <c r="AU58" s="1">
        <v>3.3757408429853859</v>
      </c>
      <c r="AV58" s="1">
        <v>1.1408815596224837</v>
      </c>
      <c r="AW58" s="1">
        <v>2.2677420437499731</v>
      </c>
      <c r="AY58" s="1">
        <v>0.7377248748176628</v>
      </c>
      <c r="AZ58" s="1">
        <v>0.83023915581870122</v>
      </c>
      <c r="BA58" s="1">
        <v>0.99999999999999556</v>
      </c>
      <c r="BB58" s="1">
        <v>0.84973080011417768</v>
      </c>
      <c r="BC58" s="1">
        <v>0.82024951972439641</v>
      </c>
      <c r="BD58" s="1">
        <v>0.83949979127379193</v>
      </c>
      <c r="BE58" s="1">
        <v>0.61948303718390418</v>
      </c>
      <c r="BF58" s="1">
        <v>0.71848038876672216</v>
      </c>
    </row>
    <row r="59" spans="13:58" x14ac:dyDescent="0.2">
      <c r="AP59" s="1">
        <v>0.43274665862643674</v>
      </c>
      <c r="AQ59" s="1">
        <v>9.4599911805596442</v>
      </c>
      <c r="AR59" s="1">
        <v>10.877609545025555</v>
      </c>
      <c r="AS59" s="1">
        <v>2.8638378011973686</v>
      </c>
      <c r="AT59" s="1">
        <v>4.2235079062035341</v>
      </c>
      <c r="AU59" s="1">
        <v>3.2087916032174073</v>
      </c>
      <c r="AV59" s="1">
        <v>1.0088717360449084</v>
      </c>
      <c r="AW59" s="1">
        <v>2.6866355056391278</v>
      </c>
      <c r="AY59" s="1">
        <v>0.85460617547157325</v>
      </c>
      <c r="AZ59" s="1">
        <v>0.92785724424167526</v>
      </c>
      <c r="BA59" s="1">
        <v>0.84973080011417768</v>
      </c>
      <c r="BB59" s="1">
        <v>1.0000000000000029</v>
      </c>
      <c r="BC59" s="1">
        <v>0.85196576342650177</v>
      </c>
      <c r="BD59" s="1">
        <v>0.79798183759859542</v>
      </c>
      <c r="BE59" s="1">
        <v>0.5478035137853422</v>
      </c>
      <c r="BF59" s="1">
        <v>0.85119686689501706</v>
      </c>
    </row>
    <row r="60" spans="13:58" x14ac:dyDescent="0.2">
      <c r="AP60" s="1">
        <v>0.39912962580763189</v>
      </c>
      <c r="AQ60" s="1">
        <v>9.2502385523300106</v>
      </c>
      <c r="AR60" s="1">
        <v>10.500212542440302</v>
      </c>
      <c r="AS60" s="1">
        <v>2.4398917586267834</v>
      </c>
      <c r="AT60" s="1">
        <v>4.9573681097431699</v>
      </c>
      <c r="AU60" s="1">
        <v>3.2224904165728487</v>
      </c>
      <c r="AV60" s="1">
        <v>0.8746944427346518</v>
      </c>
      <c r="AW60" s="1">
        <v>2.4155388170953236</v>
      </c>
      <c r="AY60" s="1">
        <v>0.78821785501828601</v>
      </c>
      <c r="AZ60" s="1">
        <v>0.90728423398332081</v>
      </c>
      <c r="BA60" s="1">
        <v>0.82024951972439641</v>
      </c>
      <c r="BB60" s="1">
        <v>0.85196576342650188</v>
      </c>
      <c r="BC60" s="1">
        <v>0.99999999999999989</v>
      </c>
      <c r="BD60" s="1">
        <v>0.80138854193032405</v>
      </c>
      <c r="BE60" s="1">
        <v>0.4749470840535322</v>
      </c>
      <c r="BF60" s="1">
        <v>0.76530629802932892</v>
      </c>
    </row>
    <row r="61" spans="13:58" x14ac:dyDescent="0.2">
      <c r="AP61" s="1">
        <v>0.36133876332467296</v>
      </c>
      <c r="AQ61" s="1">
        <v>8.5616031686575464</v>
      </c>
      <c r="AR61" s="1">
        <v>10.746639925703217</v>
      </c>
      <c r="AS61" s="1">
        <v>2.28529055118379</v>
      </c>
      <c r="AT61" s="1">
        <v>3.9727780012789657</v>
      </c>
      <c r="AU61" s="1">
        <v>4.0211336299003557</v>
      </c>
      <c r="AV61" s="1">
        <v>1.1546013376136672</v>
      </c>
      <c r="AW61" s="1">
        <v>1.9906400449138915</v>
      </c>
      <c r="AY61" s="1">
        <v>0.71358688142083748</v>
      </c>
      <c r="AZ61" s="1">
        <v>0.83974132435622739</v>
      </c>
      <c r="BA61" s="1">
        <v>0.83949979127379204</v>
      </c>
      <c r="BB61" s="1">
        <v>0.79798183759859531</v>
      </c>
      <c r="BC61" s="1">
        <v>0.80138854193032405</v>
      </c>
      <c r="BD61" s="1">
        <v>0.99999999999999645</v>
      </c>
      <c r="BE61" s="1">
        <v>0.62693268843629157</v>
      </c>
      <c r="BF61" s="1">
        <v>0.63068717948152431</v>
      </c>
    </row>
    <row r="62" spans="13:58" x14ac:dyDescent="0.2">
      <c r="AP62" s="1">
        <v>0.19027724440289501</v>
      </c>
      <c r="AQ62" s="1">
        <v>5.9925729715911755</v>
      </c>
      <c r="AR62" s="1">
        <v>7.9301522286206545</v>
      </c>
      <c r="AS62" s="1">
        <v>1.5688204104072023</v>
      </c>
      <c r="AT62" s="1">
        <v>2.3544875283024895</v>
      </c>
      <c r="AU62" s="1">
        <v>2.5209801171550223</v>
      </c>
      <c r="AV62" s="1">
        <v>1.841667150094686</v>
      </c>
      <c r="AW62" s="1">
        <v>1.7521362922099923</v>
      </c>
      <c r="AY62" s="1">
        <v>0.37576744933067369</v>
      </c>
      <c r="AZ62" s="1">
        <v>0.58776505571845528</v>
      </c>
      <c r="BA62" s="1">
        <v>0.61948303718390429</v>
      </c>
      <c r="BB62" s="1">
        <v>0.54780351378534231</v>
      </c>
      <c r="BC62" s="1">
        <v>0.4749470840535322</v>
      </c>
      <c r="BD62" s="1">
        <v>0.62693268843629146</v>
      </c>
      <c r="BE62" s="1">
        <v>0.99999999999999778</v>
      </c>
      <c r="BF62" s="1">
        <v>0.55512291085701371</v>
      </c>
    </row>
    <row r="63" spans="13:58" x14ac:dyDescent="0.2">
      <c r="AP63" s="1">
        <v>0.37030769749504255</v>
      </c>
      <c r="AQ63" s="1">
        <v>8.6037303975584916</v>
      </c>
      <c r="AR63" s="1">
        <v>9.1974412763576741</v>
      </c>
      <c r="AS63" s="1">
        <v>2.4376897636747077</v>
      </c>
      <c r="AT63" s="1">
        <v>3.7939050360361977</v>
      </c>
      <c r="AU63" s="1">
        <v>2.5360774273601678</v>
      </c>
      <c r="AV63" s="1">
        <v>1.022351629190305</v>
      </c>
      <c r="AW63" s="1">
        <v>3.1563033302030217</v>
      </c>
      <c r="AY63" s="1">
        <v>0.73129910721531211</v>
      </c>
      <c r="AZ63" s="1">
        <v>0.84387325786118617</v>
      </c>
      <c r="BA63" s="1">
        <v>0.71848038876672227</v>
      </c>
      <c r="BB63" s="1">
        <v>0.85119686689501706</v>
      </c>
      <c r="BC63" s="1">
        <v>0.76530629802932892</v>
      </c>
      <c r="BD63" s="1">
        <v>0.63068717948152431</v>
      </c>
      <c r="BE63" s="1">
        <v>0.55512291085701371</v>
      </c>
      <c r="BF63" s="1">
        <v>0.99999999999999722</v>
      </c>
    </row>
  </sheetData>
  <mergeCells count="9">
    <mergeCell ref="AE24:AG24"/>
    <mergeCell ref="AE34:AI34"/>
    <mergeCell ref="AP34:AQ34"/>
    <mergeCell ref="A1:I1"/>
    <mergeCell ref="L1:P1"/>
    <mergeCell ref="K13:L13"/>
    <mergeCell ref="R13:T13"/>
    <mergeCell ref="M24:N24"/>
    <mergeCell ref="V24:AC24"/>
  </mergeCells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 Baltodano</dc:creator>
  <cp:lastModifiedBy>Jonatha Baltodano</cp:lastModifiedBy>
  <dcterms:created xsi:type="dcterms:W3CDTF">2026-08-13T00:15:11Z</dcterms:created>
  <dcterms:modified xsi:type="dcterms:W3CDTF">2026-08-13T03:25:03Z</dcterms:modified>
</cp:coreProperties>
</file>