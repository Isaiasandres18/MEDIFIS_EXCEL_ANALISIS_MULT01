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SUAISAACLAGUNALoPE\Downloads\"/>
    </mc:Choice>
  </mc:AlternateContent>
  <xr:revisionPtr revIDLastSave="0" documentId="8_{09FFE6F6-C863-9842-875F-CFF82B98E3D1}" xr6:coauthVersionLast="47" xr6:coauthVersionMax="47" xr10:uidLastSave="{00000000-0000-0000-0000-000000000000}"/>
  <bookViews>
    <workbookView xWindow="2895" yWindow="2100" windowWidth="17685" windowHeight="7875" tabRatio="500" xr2:uid="{00000000-000D-0000-FFFF-FFFF00000000}"/>
  </bookViews>
  <sheets>
    <sheet name="MEDIFI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75" i="1" l="1"/>
  <c r="I177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49" i="1" a="1"/>
  <c r="I34" i="1"/>
  <c r="G34" i="1"/>
  <c r="E34" i="1"/>
  <c r="C34" i="1"/>
  <c r="A34" i="1"/>
  <c r="I33" i="1"/>
  <c r="H33" i="1"/>
  <c r="H34" i="1"/>
  <c r="G33" i="1"/>
  <c r="F33" i="1"/>
  <c r="F34" i="1"/>
  <c r="E33" i="1"/>
  <c r="D33" i="1"/>
  <c r="D34" i="1"/>
  <c r="C33" i="1"/>
  <c r="B33" i="1"/>
  <c r="B34" i="1"/>
  <c r="A33" i="1"/>
  <c r="I32" i="1"/>
  <c r="H32" i="1"/>
  <c r="G32" i="1"/>
  <c r="F32" i="1"/>
  <c r="E32" i="1"/>
  <c r="D32" i="1"/>
  <c r="C32" i="1"/>
  <c r="B32" i="1"/>
  <c r="A32" i="1"/>
  <c r="A57" i="1"/>
  <c r="A69" i="1"/>
  <c r="I72" i="1"/>
  <c r="A55" i="1"/>
  <c r="A67" i="1"/>
  <c r="G72" i="1"/>
  <c r="A53" i="1"/>
  <c r="A65" i="1"/>
  <c r="E72" i="1"/>
  <c r="A51" i="1"/>
  <c r="A63" i="1"/>
  <c r="C72" i="1"/>
  <c r="A56" i="1"/>
  <c r="A68" i="1"/>
  <c r="H72" i="1"/>
  <c r="A54" i="1"/>
  <c r="A66" i="1"/>
  <c r="F72" i="1"/>
  <c r="A52" i="1"/>
  <c r="A64" i="1"/>
  <c r="D72" i="1"/>
  <c r="A50" i="1"/>
  <c r="A62" i="1"/>
  <c r="B72" i="1"/>
  <c r="A49" i="1"/>
  <c r="A61" i="1"/>
  <c r="A72" i="1"/>
  <c r="A75" i="1" a="1"/>
  <c r="H101" i="1"/>
  <c r="F101" i="1"/>
  <c r="D101" i="1"/>
  <c r="B101" i="1"/>
  <c r="I100" i="1"/>
  <c r="G100" i="1"/>
  <c r="E100" i="1"/>
  <c r="C100" i="1"/>
  <c r="A100" i="1"/>
  <c r="H99" i="1"/>
  <c r="F99" i="1"/>
  <c r="D99" i="1"/>
  <c r="B99" i="1"/>
  <c r="I98" i="1"/>
  <c r="G98" i="1"/>
  <c r="E98" i="1"/>
  <c r="C98" i="1"/>
  <c r="A98" i="1"/>
  <c r="H97" i="1"/>
  <c r="F97" i="1"/>
  <c r="D97" i="1"/>
  <c r="B97" i="1"/>
  <c r="I96" i="1"/>
  <c r="G96" i="1"/>
  <c r="E96" i="1"/>
  <c r="C96" i="1"/>
  <c r="A96" i="1"/>
  <c r="H95" i="1"/>
  <c r="F95" i="1"/>
  <c r="D95" i="1"/>
  <c r="B95" i="1"/>
  <c r="I94" i="1"/>
  <c r="G94" i="1"/>
  <c r="E94" i="1"/>
  <c r="C94" i="1"/>
  <c r="A94" i="1"/>
  <c r="H93" i="1"/>
  <c r="F93" i="1"/>
  <c r="D93" i="1"/>
  <c r="B93" i="1"/>
  <c r="I92" i="1"/>
  <c r="G92" i="1"/>
  <c r="E92" i="1"/>
  <c r="C92" i="1"/>
  <c r="A92" i="1"/>
  <c r="H91" i="1"/>
  <c r="F91" i="1"/>
  <c r="G101" i="1"/>
  <c r="C101" i="1"/>
  <c r="H100" i="1"/>
  <c r="D100" i="1"/>
  <c r="I99" i="1"/>
  <c r="E99" i="1"/>
  <c r="A99" i="1"/>
  <c r="F98" i="1"/>
  <c r="B98" i="1"/>
  <c r="G97" i="1"/>
  <c r="C97" i="1"/>
  <c r="H96" i="1"/>
  <c r="D96" i="1"/>
  <c r="I95" i="1"/>
  <c r="E95" i="1"/>
  <c r="A95" i="1"/>
  <c r="F94" i="1"/>
  <c r="B94" i="1"/>
  <c r="G93" i="1"/>
  <c r="C93" i="1"/>
  <c r="H92" i="1"/>
  <c r="D92" i="1"/>
  <c r="I91" i="1"/>
  <c r="E91" i="1"/>
  <c r="C91" i="1"/>
  <c r="A91" i="1"/>
  <c r="H90" i="1"/>
  <c r="F90" i="1"/>
  <c r="D90" i="1"/>
  <c r="B90" i="1"/>
  <c r="I89" i="1"/>
  <c r="G89" i="1"/>
  <c r="E89" i="1"/>
  <c r="C89" i="1"/>
  <c r="A89" i="1"/>
  <c r="H88" i="1"/>
  <c r="F88" i="1"/>
  <c r="D88" i="1"/>
  <c r="B88" i="1"/>
  <c r="I87" i="1"/>
  <c r="G87" i="1"/>
  <c r="E87" i="1"/>
  <c r="C87" i="1"/>
  <c r="A87" i="1"/>
  <c r="H86" i="1"/>
  <c r="F86" i="1"/>
  <c r="D86" i="1"/>
  <c r="B86" i="1"/>
  <c r="I85" i="1"/>
  <c r="G85" i="1"/>
  <c r="E85" i="1"/>
  <c r="C85" i="1"/>
  <c r="A85" i="1"/>
  <c r="H84" i="1"/>
  <c r="F84" i="1"/>
  <c r="D84" i="1"/>
  <c r="B84" i="1"/>
  <c r="I83" i="1"/>
  <c r="G83" i="1"/>
  <c r="E83" i="1"/>
  <c r="C83" i="1"/>
  <c r="A83" i="1"/>
  <c r="H82" i="1"/>
  <c r="F82" i="1"/>
  <c r="D82" i="1"/>
  <c r="B82" i="1"/>
  <c r="I81" i="1"/>
  <c r="G81" i="1"/>
  <c r="E81" i="1"/>
  <c r="C81" i="1"/>
  <c r="A81" i="1"/>
  <c r="H80" i="1"/>
  <c r="F80" i="1"/>
  <c r="D80" i="1"/>
  <c r="B80" i="1"/>
  <c r="I79" i="1"/>
  <c r="G79" i="1"/>
  <c r="E79" i="1"/>
  <c r="C79" i="1"/>
  <c r="A79" i="1"/>
  <c r="H78" i="1"/>
  <c r="F78" i="1"/>
  <c r="D78" i="1"/>
  <c r="B78" i="1"/>
  <c r="I77" i="1"/>
  <c r="G77" i="1"/>
  <c r="E77" i="1"/>
  <c r="C77" i="1"/>
  <c r="A77" i="1"/>
  <c r="H76" i="1"/>
  <c r="F76" i="1"/>
  <c r="D76" i="1"/>
  <c r="B76" i="1"/>
  <c r="I75" i="1"/>
  <c r="G75" i="1"/>
  <c r="E75" i="1"/>
  <c r="C75" i="1"/>
  <c r="I101" i="1"/>
  <c r="E101" i="1"/>
  <c r="A101" i="1"/>
  <c r="F100" i="1"/>
  <c r="B100" i="1"/>
  <c r="G99" i="1"/>
  <c r="C99" i="1"/>
  <c r="H98" i="1"/>
  <c r="D98" i="1"/>
  <c r="I97" i="1"/>
  <c r="E97" i="1"/>
  <c r="A97" i="1"/>
  <c r="F96" i="1"/>
  <c r="B96" i="1"/>
  <c r="G95" i="1"/>
  <c r="C95" i="1"/>
  <c r="H94" i="1"/>
  <c r="D94" i="1"/>
  <c r="I93" i="1"/>
  <c r="E93" i="1"/>
  <c r="A93" i="1"/>
  <c r="F92" i="1"/>
  <c r="B92" i="1"/>
  <c r="G91" i="1"/>
  <c r="D91" i="1"/>
  <c r="B91" i="1"/>
  <c r="I90" i="1"/>
  <c r="G90" i="1"/>
  <c r="E90" i="1"/>
  <c r="C90" i="1"/>
  <c r="A90" i="1"/>
  <c r="H89" i="1"/>
  <c r="F89" i="1"/>
  <c r="D89" i="1"/>
  <c r="B89" i="1"/>
  <c r="I88" i="1"/>
  <c r="G88" i="1"/>
  <c r="E88" i="1"/>
  <c r="C88" i="1"/>
  <c r="A88" i="1"/>
  <c r="H87" i="1"/>
  <c r="F87" i="1"/>
  <c r="D87" i="1"/>
  <c r="B87" i="1"/>
  <c r="I86" i="1"/>
  <c r="G86" i="1"/>
  <c r="E86" i="1"/>
  <c r="C86" i="1"/>
  <c r="A86" i="1"/>
  <c r="H85" i="1"/>
  <c r="F85" i="1"/>
  <c r="D85" i="1"/>
  <c r="B85" i="1"/>
  <c r="I84" i="1"/>
  <c r="G84" i="1"/>
  <c r="E84" i="1"/>
  <c r="C84" i="1"/>
  <c r="A84" i="1"/>
  <c r="H83" i="1"/>
  <c r="F83" i="1"/>
  <c r="D83" i="1"/>
  <c r="B83" i="1"/>
  <c r="I82" i="1"/>
  <c r="G82" i="1"/>
  <c r="E82" i="1"/>
  <c r="C82" i="1"/>
  <c r="A82" i="1"/>
  <c r="H81" i="1"/>
  <c r="F81" i="1"/>
  <c r="D81" i="1"/>
  <c r="B81" i="1"/>
  <c r="I80" i="1"/>
  <c r="G80" i="1"/>
  <c r="E80" i="1"/>
  <c r="C80" i="1"/>
  <c r="A80" i="1"/>
  <c r="H79" i="1"/>
  <c r="F79" i="1"/>
  <c r="D79" i="1"/>
  <c r="B79" i="1"/>
  <c r="I78" i="1"/>
  <c r="G78" i="1"/>
  <c r="E78" i="1"/>
  <c r="C78" i="1"/>
  <c r="A78" i="1"/>
  <c r="H77" i="1"/>
  <c r="F77" i="1"/>
  <c r="D77" i="1"/>
  <c r="B77" i="1"/>
  <c r="I76" i="1"/>
  <c r="G76" i="1"/>
  <c r="E76" i="1"/>
  <c r="C76" i="1"/>
  <c r="A76" i="1"/>
  <c r="H75" i="1"/>
  <c r="F75" i="1"/>
  <c r="D75" i="1"/>
  <c r="B75" i="1"/>
  <c r="A75" i="1"/>
  <c r="A104" i="1" a="1"/>
  <c r="H130" i="1"/>
  <c r="AA140" i="1"/>
  <c r="F130" i="1"/>
  <c r="AA138" i="1"/>
  <c r="D130" i="1"/>
  <c r="AA136" i="1"/>
  <c r="B130" i="1"/>
  <c r="AA134" i="1"/>
  <c r="I129" i="1"/>
  <c r="Z141" i="1"/>
  <c r="G129" i="1"/>
  <c r="Z139" i="1"/>
  <c r="E129" i="1"/>
  <c r="Z137" i="1"/>
  <c r="C129" i="1"/>
  <c r="Z135" i="1"/>
  <c r="A129" i="1"/>
  <c r="Z133" i="1"/>
  <c r="H128" i="1"/>
  <c r="Y140" i="1"/>
  <c r="F128" i="1"/>
  <c r="Y138" i="1"/>
  <c r="D128" i="1"/>
  <c r="Y136" i="1"/>
  <c r="B128" i="1"/>
  <c r="Y134" i="1"/>
  <c r="I127" i="1"/>
  <c r="X141" i="1"/>
  <c r="G127" i="1"/>
  <c r="X139" i="1"/>
  <c r="E127" i="1"/>
  <c r="X137" i="1"/>
  <c r="C127" i="1"/>
  <c r="X135" i="1"/>
  <c r="A127" i="1"/>
  <c r="X133" i="1"/>
  <c r="H126" i="1"/>
  <c r="W140" i="1"/>
  <c r="F126" i="1"/>
  <c r="W138" i="1"/>
  <c r="D126" i="1"/>
  <c r="W136" i="1"/>
  <c r="B126" i="1"/>
  <c r="W134" i="1"/>
  <c r="I125" i="1"/>
  <c r="V141" i="1"/>
  <c r="G125" i="1"/>
  <c r="V139" i="1"/>
  <c r="E125" i="1"/>
  <c r="V137" i="1"/>
  <c r="C125" i="1"/>
  <c r="V135" i="1"/>
  <c r="A125" i="1"/>
  <c r="V133" i="1"/>
  <c r="H124" i="1"/>
  <c r="U140" i="1"/>
  <c r="F124" i="1"/>
  <c r="U138" i="1"/>
  <c r="D124" i="1"/>
  <c r="U136" i="1"/>
  <c r="B124" i="1"/>
  <c r="U134" i="1"/>
  <c r="I123" i="1"/>
  <c r="T141" i="1"/>
  <c r="G123" i="1"/>
  <c r="T139" i="1"/>
  <c r="E123" i="1"/>
  <c r="T137" i="1"/>
  <c r="C123" i="1"/>
  <c r="T135" i="1"/>
  <c r="A123" i="1"/>
  <c r="T133" i="1"/>
  <c r="H122" i="1"/>
  <c r="S140" i="1"/>
  <c r="F122" i="1"/>
  <c r="S138" i="1"/>
  <c r="D122" i="1"/>
  <c r="S136" i="1"/>
  <c r="B122" i="1"/>
  <c r="S134" i="1"/>
  <c r="I121" i="1"/>
  <c r="R141" i="1"/>
  <c r="G121" i="1"/>
  <c r="R139" i="1"/>
  <c r="E121" i="1"/>
  <c r="R137" i="1"/>
  <c r="C121" i="1"/>
  <c r="R135" i="1"/>
  <c r="A121" i="1"/>
  <c r="R133" i="1"/>
  <c r="H120" i="1"/>
  <c r="Q140" i="1"/>
  <c r="F120" i="1"/>
  <c r="Q138" i="1"/>
  <c r="D120" i="1"/>
  <c r="Q136" i="1"/>
  <c r="B120" i="1"/>
  <c r="Q134" i="1"/>
  <c r="I119" i="1"/>
  <c r="P141" i="1"/>
  <c r="G119" i="1"/>
  <c r="P139" i="1"/>
  <c r="E119" i="1"/>
  <c r="P137" i="1"/>
  <c r="C119" i="1"/>
  <c r="P135" i="1"/>
  <c r="A119" i="1"/>
  <c r="P133" i="1"/>
  <c r="H118" i="1"/>
  <c r="O140" i="1"/>
  <c r="F118" i="1"/>
  <c r="O138" i="1"/>
  <c r="D118" i="1"/>
  <c r="O136" i="1"/>
  <c r="B118" i="1"/>
  <c r="O134" i="1"/>
  <c r="I117" i="1"/>
  <c r="N141" i="1"/>
  <c r="G117" i="1"/>
  <c r="N139" i="1"/>
  <c r="E117" i="1"/>
  <c r="N137" i="1"/>
  <c r="C117" i="1"/>
  <c r="N135" i="1"/>
  <c r="A117" i="1"/>
  <c r="N133" i="1"/>
  <c r="H116" i="1"/>
  <c r="M140" i="1"/>
  <c r="F116" i="1"/>
  <c r="M138" i="1"/>
  <c r="D116" i="1"/>
  <c r="M136" i="1"/>
  <c r="B116" i="1"/>
  <c r="M134" i="1"/>
  <c r="I115" i="1"/>
  <c r="L141" i="1"/>
  <c r="G115" i="1"/>
  <c r="L139" i="1"/>
  <c r="E115" i="1"/>
  <c r="L137" i="1"/>
  <c r="C115" i="1"/>
  <c r="L135" i="1"/>
  <c r="A115" i="1"/>
  <c r="L133" i="1"/>
  <c r="H114" i="1"/>
  <c r="K140" i="1"/>
  <c r="F114" i="1"/>
  <c r="K138" i="1"/>
  <c r="D114" i="1"/>
  <c r="K136" i="1"/>
  <c r="B114" i="1"/>
  <c r="K134" i="1"/>
  <c r="I113" i="1"/>
  <c r="J141" i="1"/>
  <c r="G113" i="1"/>
  <c r="J139" i="1"/>
  <c r="E113" i="1"/>
  <c r="J137" i="1"/>
  <c r="C113" i="1"/>
  <c r="J135" i="1"/>
  <c r="A113" i="1"/>
  <c r="J133" i="1"/>
  <c r="H112" i="1"/>
  <c r="I140" i="1"/>
  <c r="F112" i="1"/>
  <c r="I138" i="1"/>
  <c r="D112" i="1"/>
  <c r="I136" i="1"/>
  <c r="B112" i="1"/>
  <c r="I134" i="1"/>
  <c r="I111" i="1"/>
  <c r="H141" i="1"/>
  <c r="G111" i="1"/>
  <c r="H139" i="1"/>
  <c r="E111" i="1"/>
  <c r="H137" i="1"/>
  <c r="C111" i="1"/>
  <c r="H135" i="1"/>
  <c r="A111" i="1"/>
  <c r="H133" i="1"/>
  <c r="H110" i="1"/>
  <c r="G140" i="1"/>
  <c r="F110" i="1"/>
  <c r="G138" i="1"/>
  <c r="D110" i="1"/>
  <c r="G136" i="1"/>
  <c r="B110" i="1"/>
  <c r="G134" i="1"/>
  <c r="I109" i="1"/>
  <c r="F141" i="1"/>
  <c r="G109" i="1"/>
  <c r="F139" i="1"/>
  <c r="E109" i="1"/>
  <c r="F137" i="1"/>
  <c r="C109" i="1"/>
  <c r="F135" i="1"/>
  <c r="A109" i="1"/>
  <c r="F133" i="1"/>
  <c r="H108" i="1"/>
  <c r="E140" i="1"/>
  <c r="F108" i="1"/>
  <c r="E138" i="1"/>
  <c r="D108" i="1"/>
  <c r="E136" i="1"/>
  <c r="B108" i="1"/>
  <c r="E134" i="1"/>
  <c r="I107" i="1"/>
  <c r="D141" i="1"/>
  <c r="G107" i="1"/>
  <c r="D139" i="1"/>
  <c r="E107" i="1"/>
  <c r="D137" i="1"/>
  <c r="C107" i="1"/>
  <c r="D135" i="1"/>
  <c r="A107" i="1"/>
  <c r="D133" i="1"/>
  <c r="H106" i="1"/>
  <c r="C140" i="1"/>
  <c r="F106" i="1"/>
  <c r="C138" i="1"/>
  <c r="D106" i="1"/>
  <c r="C136" i="1"/>
  <c r="B106" i="1"/>
  <c r="C134" i="1"/>
  <c r="I105" i="1"/>
  <c r="B141" i="1"/>
  <c r="G105" i="1"/>
  <c r="B139" i="1"/>
  <c r="E105" i="1"/>
  <c r="B137" i="1"/>
  <c r="C105" i="1"/>
  <c r="B135" i="1"/>
  <c r="A105" i="1"/>
  <c r="B133" i="1"/>
  <c r="H104" i="1"/>
  <c r="A140" i="1"/>
  <c r="F104" i="1"/>
  <c r="A138" i="1"/>
  <c r="D104" i="1"/>
  <c r="A136" i="1"/>
  <c r="B104" i="1"/>
  <c r="A134" i="1"/>
  <c r="A104" i="1"/>
  <c r="A133" i="1"/>
  <c r="G130" i="1"/>
  <c r="AA139" i="1"/>
  <c r="C130" i="1"/>
  <c r="AA135" i="1"/>
  <c r="H129" i="1"/>
  <c r="Z140" i="1"/>
  <c r="D129" i="1"/>
  <c r="Z136" i="1"/>
  <c r="I128" i="1"/>
  <c r="Y141" i="1"/>
  <c r="E128" i="1"/>
  <c r="Y137" i="1"/>
  <c r="A128" i="1"/>
  <c r="Y133" i="1"/>
  <c r="F127" i="1"/>
  <c r="X138" i="1"/>
  <c r="B127" i="1"/>
  <c r="X134" i="1"/>
  <c r="G126" i="1"/>
  <c r="W139" i="1"/>
  <c r="C126" i="1"/>
  <c r="W135" i="1"/>
  <c r="H125" i="1"/>
  <c r="V140" i="1"/>
  <c r="D125" i="1"/>
  <c r="V136" i="1"/>
  <c r="I124" i="1"/>
  <c r="U141" i="1"/>
  <c r="E124" i="1"/>
  <c r="U137" i="1"/>
  <c r="A124" i="1"/>
  <c r="U133" i="1"/>
  <c r="F123" i="1"/>
  <c r="T138" i="1"/>
  <c r="B123" i="1"/>
  <c r="T134" i="1"/>
  <c r="G122" i="1"/>
  <c r="S139" i="1"/>
  <c r="C122" i="1"/>
  <c r="S135" i="1"/>
  <c r="H121" i="1"/>
  <c r="R140" i="1"/>
  <c r="D121" i="1"/>
  <c r="R136" i="1"/>
  <c r="I120" i="1"/>
  <c r="Q141" i="1"/>
  <c r="E120" i="1"/>
  <c r="Q137" i="1"/>
  <c r="A120" i="1"/>
  <c r="Q133" i="1"/>
  <c r="F119" i="1"/>
  <c r="P138" i="1"/>
  <c r="B119" i="1"/>
  <c r="P134" i="1"/>
  <c r="G118" i="1"/>
  <c r="O139" i="1"/>
  <c r="C118" i="1"/>
  <c r="O135" i="1"/>
  <c r="H117" i="1"/>
  <c r="N140" i="1"/>
  <c r="D117" i="1"/>
  <c r="N136" i="1"/>
  <c r="I116" i="1"/>
  <c r="M141" i="1"/>
  <c r="E116" i="1"/>
  <c r="M137" i="1"/>
  <c r="A116" i="1"/>
  <c r="M133" i="1"/>
  <c r="F115" i="1"/>
  <c r="L138" i="1"/>
  <c r="B115" i="1"/>
  <c r="L134" i="1"/>
  <c r="G114" i="1"/>
  <c r="K139" i="1"/>
  <c r="C114" i="1"/>
  <c r="K135" i="1"/>
  <c r="H113" i="1"/>
  <c r="J140" i="1"/>
  <c r="D113" i="1"/>
  <c r="J136" i="1"/>
  <c r="I112" i="1"/>
  <c r="I141" i="1"/>
  <c r="E112" i="1"/>
  <c r="I137" i="1"/>
  <c r="A112" i="1"/>
  <c r="I133" i="1"/>
  <c r="F111" i="1"/>
  <c r="H138" i="1"/>
  <c r="B111" i="1"/>
  <c r="H134" i="1"/>
  <c r="G110" i="1"/>
  <c r="G139" i="1"/>
  <c r="C110" i="1"/>
  <c r="G135" i="1"/>
  <c r="H109" i="1"/>
  <c r="F140" i="1"/>
  <c r="D109" i="1"/>
  <c r="F136" i="1"/>
  <c r="I108" i="1"/>
  <c r="E141" i="1"/>
  <c r="E108" i="1"/>
  <c r="E137" i="1"/>
  <c r="A108" i="1"/>
  <c r="E133" i="1"/>
  <c r="F107" i="1"/>
  <c r="D138" i="1"/>
  <c r="B107" i="1"/>
  <c r="D134" i="1"/>
  <c r="G106" i="1"/>
  <c r="C139" i="1"/>
  <c r="C106" i="1"/>
  <c r="C135" i="1"/>
  <c r="H105" i="1"/>
  <c r="B140" i="1"/>
  <c r="D105" i="1"/>
  <c r="B136" i="1"/>
  <c r="I104" i="1"/>
  <c r="A141" i="1"/>
  <c r="E104" i="1"/>
  <c r="A137" i="1"/>
  <c r="I130" i="1"/>
  <c r="AA141" i="1"/>
  <c r="E130" i="1"/>
  <c r="AA137" i="1"/>
  <c r="A130" i="1"/>
  <c r="AA133" i="1"/>
  <c r="F129" i="1"/>
  <c r="Z138" i="1"/>
  <c r="B129" i="1"/>
  <c r="Z134" i="1"/>
  <c r="G128" i="1"/>
  <c r="Y139" i="1"/>
  <c r="C128" i="1"/>
  <c r="Y135" i="1"/>
  <c r="H127" i="1"/>
  <c r="X140" i="1"/>
  <c r="D127" i="1"/>
  <c r="X136" i="1"/>
  <c r="I126" i="1"/>
  <c r="W141" i="1"/>
  <c r="E126" i="1"/>
  <c r="W137" i="1"/>
  <c r="A126" i="1"/>
  <c r="W133" i="1"/>
  <c r="F125" i="1"/>
  <c r="V138" i="1"/>
  <c r="B125" i="1"/>
  <c r="V134" i="1"/>
  <c r="G124" i="1"/>
  <c r="U139" i="1"/>
  <c r="C124" i="1"/>
  <c r="U135" i="1"/>
  <c r="H123" i="1"/>
  <c r="T140" i="1"/>
  <c r="D123" i="1"/>
  <c r="T136" i="1"/>
  <c r="I122" i="1"/>
  <c r="S141" i="1"/>
  <c r="E122" i="1"/>
  <c r="S137" i="1"/>
  <c r="A122" i="1"/>
  <c r="S133" i="1"/>
  <c r="F121" i="1"/>
  <c r="R138" i="1"/>
  <c r="B121" i="1"/>
  <c r="R134" i="1"/>
  <c r="G120" i="1"/>
  <c r="Q139" i="1"/>
  <c r="C120" i="1"/>
  <c r="Q135" i="1"/>
  <c r="H119" i="1"/>
  <c r="P140" i="1"/>
  <c r="D119" i="1"/>
  <c r="P136" i="1"/>
  <c r="I118" i="1"/>
  <c r="O141" i="1"/>
  <c r="E118" i="1"/>
  <c r="O137" i="1"/>
  <c r="A118" i="1"/>
  <c r="O133" i="1"/>
  <c r="F117" i="1"/>
  <c r="N138" i="1"/>
  <c r="B117" i="1"/>
  <c r="N134" i="1"/>
  <c r="G116" i="1"/>
  <c r="M139" i="1"/>
  <c r="C116" i="1"/>
  <c r="M135" i="1"/>
  <c r="H115" i="1"/>
  <c r="L140" i="1"/>
  <c r="D115" i="1"/>
  <c r="L136" i="1"/>
  <c r="I114" i="1"/>
  <c r="K141" i="1"/>
  <c r="E114" i="1"/>
  <c r="K137" i="1"/>
  <c r="A114" i="1"/>
  <c r="K133" i="1"/>
  <c r="F113" i="1"/>
  <c r="J138" i="1"/>
  <c r="B113" i="1"/>
  <c r="J134" i="1"/>
  <c r="G112" i="1"/>
  <c r="I139" i="1"/>
  <c r="C112" i="1"/>
  <c r="I135" i="1"/>
  <c r="H111" i="1"/>
  <c r="H140" i="1"/>
  <c r="D111" i="1"/>
  <c r="H136" i="1"/>
  <c r="I110" i="1"/>
  <c r="G141" i="1"/>
  <c r="E110" i="1"/>
  <c r="G137" i="1"/>
  <c r="A110" i="1"/>
  <c r="G133" i="1"/>
  <c r="F109" i="1"/>
  <c r="F138" i="1"/>
  <c r="B109" i="1"/>
  <c r="F134" i="1"/>
  <c r="G108" i="1"/>
  <c r="E139" i="1"/>
  <c r="C108" i="1"/>
  <c r="E135" i="1"/>
  <c r="H107" i="1"/>
  <c r="D140" i="1"/>
  <c r="D107" i="1"/>
  <c r="D136" i="1"/>
  <c r="I106" i="1"/>
  <c r="C141" i="1"/>
  <c r="E106" i="1"/>
  <c r="C137" i="1"/>
  <c r="A106" i="1"/>
  <c r="C133" i="1"/>
  <c r="F105" i="1"/>
  <c r="B138" i="1"/>
  <c r="B105" i="1"/>
  <c r="B134" i="1"/>
  <c r="G104" i="1"/>
  <c r="A139" i="1"/>
  <c r="C104" i="1"/>
  <c r="A135" i="1"/>
  <c r="A144" i="1" a="1"/>
  <c r="I152" i="1"/>
  <c r="G152" i="1"/>
  <c r="E152" i="1"/>
  <c r="C152" i="1"/>
  <c r="A152" i="1"/>
  <c r="H151" i="1"/>
  <c r="F151" i="1"/>
  <c r="D151" i="1"/>
  <c r="B151" i="1"/>
  <c r="I150" i="1"/>
  <c r="G150" i="1"/>
  <c r="E150" i="1"/>
  <c r="C150" i="1"/>
  <c r="A150" i="1"/>
  <c r="H149" i="1"/>
  <c r="F149" i="1"/>
  <c r="D149" i="1"/>
  <c r="B149" i="1"/>
  <c r="I148" i="1"/>
  <c r="G148" i="1"/>
  <c r="E148" i="1"/>
  <c r="C148" i="1"/>
  <c r="A148" i="1"/>
  <c r="H147" i="1"/>
  <c r="F147" i="1"/>
  <c r="D147" i="1"/>
  <c r="B147" i="1"/>
  <c r="I146" i="1"/>
  <c r="G146" i="1"/>
  <c r="E146" i="1"/>
  <c r="C146" i="1"/>
  <c r="A146" i="1"/>
  <c r="H145" i="1"/>
  <c r="F145" i="1"/>
  <c r="D145" i="1"/>
  <c r="B145" i="1"/>
  <c r="I144" i="1"/>
  <c r="G144" i="1"/>
  <c r="E144" i="1"/>
  <c r="C144" i="1"/>
  <c r="H152" i="1"/>
  <c r="D152" i="1"/>
  <c r="I151" i="1"/>
  <c r="E151" i="1"/>
  <c r="A151" i="1"/>
  <c r="F150" i="1"/>
  <c r="B150" i="1"/>
  <c r="G149" i="1"/>
  <c r="C149" i="1"/>
  <c r="H148" i="1"/>
  <c r="D148" i="1"/>
  <c r="I147" i="1"/>
  <c r="E147" i="1"/>
  <c r="A147" i="1"/>
  <c r="F146" i="1"/>
  <c r="B146" i="1"/>
  <c r="G145" i="1"/>
  <c r="C145" i="1"/>
  <c r="H144" i="1"/>
  <c r="D144" i="1"/>
  <c r="A144" i="1"/>
  <c r="B152" i="1"/>
  <c r="C151" i="1"/>
  <c r="D150" i="1"/>
  <c r="E149" i="1"/>
  <c r="F148" i="1"/>
  <c r="G147" i="1"/>
  <c r="H146" i="1"/>
  <c r="I145" i="1"/>
  <c r="A145" i="1"/>
  <c r="B144" i="1"/>
  <c r="F152" i="1"/>
  <c r="G151" i="1"/>
  <c r="H150" i="1"/>
  <c r="I149" i="1"/>
  <c r="A149" i="1"/>
  <c r="B148" i="1"/>
  <c r="C147" i="1"/>
  <c r="D146" i="1"/>
  <c r="E145" i="1"/>
  <c r="F144" i="1"/>
  <c r="A155" i="1" a="1"/>
  <c r="I163" i="1"/>
  <c r="I166" i="1"/>
  <c r="G163" i="1"/>
  <c r="E163" i="1"/>
  <c r="C163" i="1"/>
  <c r="A163" i="1"/>
  <c r="H162" i="1"/>
  <c r="H166" i="1"/>
  <c r="F162" i="1"/>
  <c r="D162" i="1"/>
  <c r="B162" i="1"/>
  <c r="I161" i="1"/>
  <c r="G161" i="1"/>
  <c r="G166" i="1"/>
  <c r="E161" i="1"/>
  <c r="C161" i="1"/>
  <c r="A161" i="1"/>
  <c r="H160" i="1"/>
  <c r="F160" i="1"/>
  <c r="F166" i="1"/>
  <c r="D160" i="1"/>
  <c r="B160" i="1"/>
  <c r="I159" i="1"/>
  <c r="G159" i="1"/>
  <c r="E159" i="1"/>
  <c r="E166" i="1"/>
  <c r="C159" i="1"/>
  <c r="A159" i="1"/>
  <c r="H158" i="1"/>
  <c r="F158" i="1"/>
  <c r="D158" i="1"/>
  <c r="D166" i="1"/>
  <c r="B158" i="1"/>
  <c r="I157" i="1"/>
  <c r="G157" i="1"/>
  <c r="E157" i="1"/>
  <c r="C157" i="1"/>
  <c r="C166" i="1"/>
  <c r="A157" i="1"/>
  <c r="H156" i="1"/>
  <c r="F156" i="1"/>
  <c r="D156" i="1"/>
  <c r="B156" i="1"/>
  <c r="B166" i="1"/>
  <c r="I155" i="1"/>
  <c r="G155" i="1"/>
  <c r="E155" i="1"/>
  <c r="C155" i="1"/>
  <c r="F163" i="1"/>
  <c r="B163" i="1"/>
  <c r="G162" i="1"/>
  <c r="C162" i="1"/>
  <c r="H161" i="1"/>
  <c r="D161" i="1"/>
  <c r="I160" i="1"/>
  <c r="E160" i="1"/>
  <c r="A160" i="1"/>
  <c r="F159" i="1"/>
  <c r="B159" i="1"/>
  <c r="G158" i="1"/>
  <c r="C158" i="1"/>
  <c r="H157" i="1"/>
  <c r="D157" i="1"/>
  <c r="I156" i="1"/>
  <c r="E156" i="1"/>
  <c r="A156" i="1"/>
  <c r="F155" i="1"/>
  <c r="B155" i="1"/>
  <c r="H163" i="1"/>
  <c r="I162" i="1"/>
  <c r="A162" i="1"/>
  <c r="B161" i="1"/>
  <c r="C160" i="1"/>
  <c r="D159" i="1"/>
  <c r="E158" i="1"/>
  <c r="F157" i="1"/>
  <c r="G156" i="1"/>
  <c r="H155" i="1"/>
  <c r="A155" i="1"/>
  <c r="D163" i="1"/>
  <c r="E162" i="1"/>
  <c r="F161" i="1"/>
  <c r="G160" i="1"/>
  <c r="H159" i="1"/>
  <c r="I158" i="1"/>
  <c r="A158" i="1"/>
  <c r="B157" i="1"/>
  <c r="C156" i="1"/>
  <c r="D155" i="1"/>
  <c r="B181" i="1"/>
  <c r="B170" i="1"/>
  <c r="D183" i="1"/>
  <c r="D172" i="1"/>
  <c r="F185" i="1"/>
  <c r="F174" i="1"/>
  <c r="H187" i="1"/>
  <c r="H176" i="1"/>
  <c r="A166" i="1"/>
  <c r="C171" i="1"/>
  <c r="C182" i="1"/>
  <c r="E184" i="1"/>
  <c r="E173" i="1"/>
  <c r="G186" i="1"/>
  <c r="I188" i="1"/>
  <c r="A169" i="1"/>
  <c r="A180" i="1"/>
  <c r="A191" i="1" a="1"/>
  <c r="I199" i="1"/>
  <c r="G199" i="1"/>
  <c r="E199" i="1"/>
  <c r="C199" i="1"/>
  <c r="A199" i="1"/>
  <c r="H198" i="1"/>
  <c r="F198" i="1"/>
  <c r="D198" i="1"/>
  <c r="B198" i="1"/>
  <c r="I197" i="1"/>
  <c r="G197" i="1"/>
  <c r="E197" i="1"/>
  <c r="C197" i="1"/>
  <c r="A197" i="1"/>
  <c r="H196" i="1"/>
  <c r="F196" i="1"/>
  <c r="D196" i="1"/>
  <c r="B196" i="1"/>
  <c r="I195" i="1"/>
  <c r="G195" i="1"/>
  <c r="E195" i="1"/>
  <c r="C195" i="1"/>
  <c r="A195" i="1"/>
  <c r="H194" i="1"/>
  <c r="F194" i="1"/>
  <c r="D194" i="1"/>
  <c r="B194" i="1"/>
  <c r="I193" i="1"/>
  <c r="G193" i="1"/>
  <c r="E193" i="1"/>
  <c r="C193" i="1"/>
  <c r="A193" i="1"/>
  <c r="H192" i="1"/>
  <c r="F192" i="1"/>
  <c r="D192" i="1"/>
  <c r="B192" i="1"/>
  <c r="I191" i="1"/>
  <c r="G191" i="1"/>
  <c r="E191" i="1"/>
  <c r="C191" i="1"/>
  <c r="F199" i="1"/>
  <c r="B199" i="1"/>
  <c r="G198" i="1"/>
  <c r="C198" i="1"/>
  <c r="H197" i="1"/>
  <c r="D197" i="1"/>
  <c r="I196" i="1"/>
  <c r="E196" i="1"/>
  <c r="A196" i="1"/>
  <c r="F195" i="1"/>
  <c r="B195" i="1"/>
  <c r="G194" i="1"/>
  <c r="C194" i="1"/>
  <c r="H193" i="1"/>
  <c r="D193" i="1"/>
  <c r="I192" i="1"/>
  <c r="E192" i="1"/>
  <c r="A192" i="1"/>
  <c r="F191" i="1"/>
  <c r="B191" i="1"/>
  <c r="H199" i="1"/>
  <c r="I198" i="1"/>
  <c r="A198" i="1"/>
  <c r="B197" i="1"/>
  <c r="C196" i="1"/>
  <c r="D195" i="1"/>
  <c r="E194" i="1"/>
  <c r="F193" i="1"/>
  <c r="G192" i="1"/>
  <c r="H191" i="1"/>
  <c r="A191" i="1"/>
  <c r="D199" i="1"/>
  <c r="F197" i="1"/>
  <c r="H195" i="1"/>
  <c r="A194" i="1"/>
  <c r="C192" i="1"/>
  <c r="E198" i="1"/>
  <c r="G196" i="1"/>
  <c r="I194" i="1"/>
  <c r="B193" i="1"/>
  <c r="D191" i="1"/>
  <c r="A202" i="1" a="1"/>
  <c r="I210" i="1"/>
  <c r="G210" i="1"/>
  <c r="E210" i="1"/>
  <c r="C210" i="1"/>
  <c r="A210" i="1"/>
  <c r="H209" i="1"/>
  <c r="F209" i="1"/>
  <c r="D209" i="1"/>
  <c r="B209" i="1"/>
  <c r="I208" i="1"/>
  <c r="G208" i="1"/>
  <c r="E208" i="1"/>
  <c r="C208" i="1"/>
  <c r="A208" i="1"/>
  <c r="H207" i="1"/>
  <c r="F207" i="1"/>
  <c r="D207" i="1"/>
  <c r="B207" i="1"/>
  <c r="I206" i="1"/>
  <c r="G206" i="1"/>
  <c r="E206" i="1"/>
  <c r="C206" i="1"/>
  <c r="A206" i="1"/>
  <c r="H205" i="1"/>
  <c r="F205" i="1"/>
  <c r="D205" i="1"/>
  <c r="B205" i="1"/>
  <c r="I204" i="1"/>
  <c r="G204" i="1"/>
  <c r="E204" i="1"/>
  <c r="C204" i="1"/>
  <c r="A204" i="1"/>
  <c r="H203" i="1"/>
  <c r="F203" i="1"/>
  <c r="D203" i="1"/>
  <c r="B203" i="1"/>
  <c r="I202" i="1"/>
  <c r="G202" i="1"/>
  <c r="E202" i="1"/>
  <c r="C202" i="1"/>
  <c r="H210" i="1"/>
  <c r="D210" i="1"/>
  <c r="I209" i="1"/>
  <c r="E209" i="1"/>
  <c r="A209" i="1"/>
  <c r="F208" i="1"/>
  <c r="B208" i="1"/>
  <c r="G207" i="1"/>
  <c r="C207" i="1"/>
  <c r="H206" i="1"/>
  <c r="D206" i="1"/>
  <c r="I205" i="1"/>
  <c r="E205" i="1"/>
  <c r="A205" i="1"/>
  <c r="F204" i="1"/>
  <c r="B204" i="1"/>
  <c r="G203" i="1"/>
  <c r="C203" i="1"/>
  <c r="H202" i="1"/>
  <c r="D202" i="1"/>
  <c r="A202" i="1"/>
  <c r="F210" i="1"/>
  <c r="G209" i="1"/>
  <c r="H208" i="1"/>
  <c r="I207" i="1"/>
  <c r="A207" i="1"/>
  <c r="B206" i="1"/>
  <c r="C205" i="1"/>
  <c r="D204" i="1"/>
  <c r="E203" i="1"/>
  <c r="F202" i="1"/>
  <c r="B210" i="1"/>
  <c r="D208" i="1"/>
  <c r="F206" i="1"/>
  <c r="H204" i="1"/>
  <c r="A203" i="1"/>
  <c r="C209" i="1"/>
  <c r="E207" i="1"/>
  <c r="G205" i="1"/>
  <c r="I203" i="1"/>
  <c r="B202" i="1"/>
</calcChain>
</file>

<file path=xl/sharedStrings.xml><?xml version="1.0" encoding="utf-8"?>
<sst xmlns="http://schemas.openxmlformats.org/spreadsheetml/2006/main" count="119" uniqueCount="21">
  <si>
    <t>Tabla A.5. Datos MEDIFIS</t>
  </si>
  <si>
    <t>Obs.</t>
  </si>
  <si>
    <t>sexo</t>
  </si>
  <si>
    <t>est</t>
  </si>
  <si>
    <t>pes</t>
  </si>
  <si>
    <t>pie</t>
  </si>
  <si>
    <t>lbr</t>
  </si>
  <si>
    <t>aes</t>
  </si>
  <si>
    <t>dcr</t>
  </si>
  <si>
    <t>lrt</t>
  </si>
  <si>
    <t>Obs</t>
  </si>
  <si>
    <t>Media</t>
  </si>
  <si>
    <t>Varianza</t>
  </si>
  <si>
    <t>Desv. Est.</t>
  </si>
  <si>
    <t>Vector 1 (27x1)</t>
  </si>
  <si>
    <t>n =</t>
  </si>
  <si>
    <t xml:space="preserve"> Vector de medias  = sumas / n  (9x1)</t>
  </si>
  <si>
    <t xml:space="preserve"> Vector de sumas  = X' x 1  (9x1)</t>
  </si>
  <si>
    <t xml:space="preserve"> Matriz de datos transpuesta  X'  (9x27)  [referencias de celda]</t>
  </si>
  <si>
    <t>VERIFICACION DESCRIPTIVA</t>
  </si>
  <si>
    <t xml:space="preserve"> Transponer  D  -&gt;  D'  (9x27)  [referencias de celda]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</si>
</sst>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0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1"/>
      <color rgb="FF0000FF"/>
      <name val="Arial"/>
      <family val="2"/>
    </font>
    <font>
      <i/>
      <sz val="9"/>
      <color rgb="FF66666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E1F2"/>
      </patternFill>
    </fill>
    <fill>
      <patternFill patternType="solid">
        <fgColor rgb="FFD9E1F2"/>
        <bgColor rgb="FFD9D9D9"/>
      </patternFill>
    </fill>
    <fill>
      <patternFill patternType="solid">
        <fgColor rgb="FF4472C4"/>
        <bgColor rgb="FF666666"/>
      </patternFill>
    </fill>
    <fill>
      <patternFill patternType="solid">
        <fgColor rgb="FFFCE4D6"/>
        <bgColor rgb="FFD9D9D9"/>
      </patternFill>
    </fill>
    <fill>
      <patternFill patternType="solid">
        <fgColor theme="0"/>
        <bgColor rgb="FF66666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4" borderId="0" xfId="0" applyFont="1" applyFill="1" applyAlignment="1"/>
    <xf numFmtId="0" fontId="0" fillId="4" borderId="0" xfId="0" applyFill="1"/>
    <xf numFmtId="164" fontId="6" fillId="0" borderId="2" xfId="0" applyNumberFormat="1" applyFont="1" applyBorder="1"/>
    <xf numFmtId="0" fontId="4" fillId="0" borderId="0" xfId="0" applyFont="1"/>
    <xf numFmtId="0" fontId="5" fillId="4" borderId="0" xfId="0" applyFont="1" applyFill="1"/>
    <xf numFmtId="0" fontId="7" fillId="0" borderId="0" xfId="0" applyFont="1"/>
    <xf numFmtId="2" fontId="6" fillId="0" borderId="0" xfId="0" applyNumberFormat="1" applyFont="1"/>
    <xf numFmtId="0" fontId="6" fillId="0" borderId="0" xfId="0" applyFont="1"/>
    <xf numFmtId="0" fontId="8" fillId="0" borderId="0" xfId="0" applyFont="1"/>
    <xf numFmtId="164" fontId="6" fillId="5" borderId="2" xfId="0" applyNumberFormat="1" applyFont="1" applyFill="1" applyBorder="1"/>
    <xf numFmtId="0" fontId="9" fillId="0" borderId="0" xfId="0" applyFont="1"/>
    <xf numFmtId="1" fontId="6" fillId="0" borderId="0" xfId="0" applyNumberFormat="1" applyFont="1"/>
    <xf numFmtId="0" fontId="0" fillId="6" borderId="0" xfId="0" applyFill="1"/>
    <xf numFmtId="165" fontId="6" fillId="0" borderId="2" xfId="0" applyNumberFormat="1" applyFont="1" applyBorder="1"/>
    <xf numFmtId="1" fontId="6" fillId="0" borderId="2" xfId="0" applyNumberFormat="1" applyFont="1" applyBorder="1"/>
    <xf numFmtId="165" fontId="0" fillId="0" borderId="0" xfId="0" applyNumberFormat="1" applyAlignment="1"/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2"/>
  <sheetViews>
    <sheetView tabSelected="1" topLeftCell="A89" zoomScaleNormal="100" workbookViewId="0">
      <selection activeCell="N135" sqref="N135"/>
    </sheetView>
  </sheetViews>
  <sheetFormatPr defaultColWidth="8.7421875" defaultRowHeight="15" x14ac:dyDescent="0.2"/>
  <cols>
    <col min="1" max="1" width="9.953125" style="1" customWidth="1"/>
    <col min="2" max="2" width="9.01171875" style="1" customWidth="1"/>
    <col min="3" max="3" width="11.43359375" style="1" customWidth="1"/>
    <col min="4" max="4" width="11.1640625" style="1" customWidth="1"/>
    <col min="5" max="5" width="9.01171875" style="1" customWidth="1"/>
    <col min="6" max="6" width="10.89453125" style="1" customWidth="1"/>
    <col min="7" max="7" width="11.02734375" style="1" customWidth="1"/>
    <col min="8" max="9" width="9.01171875" style="1" customWidth="1"/>
    <col min="10" max="29" width="9.01171875" customWidth="1"/>
  </cols>
  <sheetData>
    <row r="1" spans="1:9" ht="15.75" customHeight="1" x14ac:dyDescent="0.2">
      <c r="A1" s="21" t="s">
        <v>0</v>
      </c>
      <c r="B1" s="21"/>
      <c r="C1" s="21"/>
      <c r="D1" s="21"/>
      <c r="E1" s="21"/>
      <c r="F1" s="21"/>
      <c r="G1" s="21"/>
      <c r="H1" s="21"/>
      <c r="I1" s="21"/>
    </row>
    <row r="2" spans="1:9" ht="15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15" customHeight="1" x14ac:dyDescent="0.2">
      <c r="A3" s="3">
        <v>1</v>
      </c>
      <c r="B3" s="3">
        <v>0</v>
      </c>
      <c r="C3" s="3">
        <v>159</v>
      </c>
      <c r="D3" s="3">
        <v>49</v>
      </c>
      <c r="E3" s="3">
        <v>36</v>
      </c>
      <c r="F3" s="3">
        <v>68</v>
      </c>
      <c r="G3" s="3">
        <v>42</v>
      </c>
      <c r="H3" s="3">
        <v>57</v>
      </c>
      <c r="I3" s="3">
        <v>40</v>
      </c>
    </row>
    <row r="4" spans="1:9" ht="15" customHeight="1" x14ac:dyDescent="0.2">
      <c r="A4" s="3">
        <v>2</v>
      </c>
      <c r="B4" s="3">
        <v>1</v>
      </c>
      <c r="C4" s="3">
        <v>164</v>
      </c>
      <c r="D4" s="3">
        <v>62</v>
      </c>
      <c r="E4" s="3">
        <v>39</v>
      </c>
      <c r="F4" s="3">
        <v>73</v>
      </c>
      <c r="G4" s="3">
        <v>44</v>
      </c>
      <c r="H4" s="3">
        <v>55</v>
      </c>
      <c r="I4" s="3">
        <v>44</v>
      </c>
    </row>
    <row r="5" spans="1:9" ht="15" customHeight="1" x14ac:dyDescent="0.2">
      <c r="A5" s="3">
        <v>3</v>
      </c>
      <c r="B5" s="3">
        <v>0</v>
      </c>
      <c r="C5" s="3">
        <v>172</v>
      </c>
      <c r="D5" s="3">
        <v>65</v>
      </c>
      <c r="E5" s="3">
        <v>38</v>
      </c>
      <c r="F5" s="3">
        <v>75</v>
      </c>
      <c r="G5" s="3">
        <v>48</v>
      </c>
      <c r="H5" s="3">
        <v>58</v>
      </c>
      <c r="I5" s="3">
        <v>44</v>
      </c>
    </row>
    <row r="6" spans="1:9" ht="15" customHeight="1" x14ac:dyDescent="0.2">
      <c r="A6" s="3">
        <v>4</v>
      </c>
      <c r="B6" s="3">
        <v>0</v>
      </c>
      <c r="C6" s="3">
        <v>167</v>
      </c>
      <c r="D6" s="3">
        <v>52</v>
      </c>
      <c r="E6" s="3">
        <v>37</v>
      </c>
      <c r="F6" s="3">
        <v>73</v>
      </c>
      <c r="G6" s="3">
        <v>41.5</v>
      </c>
      <c r="H6" s="3">
        <v>58</v>
      </c>
      <c r="I6" s="3">
        <v>44</v>
      </c>
    </row>
    <row r="7" spans="1:9" ht="15" customHeight="1" x14ac:dyDescent="0.2">
      <c r="A7" s="3">
        <v>5</v>
      </c>
      <c r="B7" s="3">
        <v>0</v>
      </c>
      <c r="C7" s="3">
        <v>164</v>
      </c>
      <c r="D7" s="3">
        <v>51</v>
      </c>
      <c r="E7" s="3">
        <v>36</v>
      </c>
      <c r="F7" s="3">
        <v>71</v>
      </c>
      <c r="G7" s="3">
        <v>44.5</v>
      </c>
      <c r="H7" s="3">
        <v>54</v>
      </c>
      <c r="I7" s="3">
        <v>40</v>
      </c>
    </row>
    <row r="8" spans="1:9" ht="15" customHeight="1" x14ac:dyDescent="0.2">
      <c r="A8" s="3">
        <v>6</v>
      </c>
      <c r="B8" s="3">
        <v>0</v>
      </c>
      <c r="C8" s="3">
        <v>161</v>
      </c>
      <c r="D8" s="3">
        <v>67</v>
      </c>
      <c r="E8" s="3">
        <v>38</v>
      </c>
      <c r="F8" s="3">
        <v>71</v>
      </c>
      <c r="G8" s="3">
        <v>44</v>
      </c>
      <c r="H8" s="3">
        <v>56</v>
      </c>
      <c r="I8" s="3">
        <v>42</v>
      </c>
    </row>
    <row r="9" spans="1:9" ht="15" customHeight="1" x14ac:dyDescent="0.2">
      <c r="A9" s="3">
        <v>7</v>
      </c>
      <c r="B9" s="3">
        <v>0</v>
      </c>
      <c r="C9" s="3">
        <v>168</v>
      </c>
      <c r="D9" s="3">
        <v>48</v>
      </c>
      <c r="E9" s="3">
        <v>39</v>
      </c>
      <c r="F9" s="3">
        <v>72.5</v>
      </c>
      <c r="G9" s="3">
        <v>41</v>
      </c>
      <c r="H9" s="3">
        <v>54.5</v>
      </c>
      <c r="I9" s="3">
        <v>43</v>
      </c>
    </row>
    <row r="10" spans="1:9" ht="15" customHeight="1" x14ac:dyDescent="0.2">
      <c r="A10" s="3">
        <v>8</v>
      </c>
      <c r="B10" s="3">
        <v>1</v>
      </c>
      <c r="C10" s="3">
        <v>181</v>
      </c>
      <c r="D10" s="3">
        <v>74</v>
      </c>
      <c r="E10" s="3">
        <v>43</v>
      </c>
      <c r="F10" s="3">
        <v>74</v>
      </c>
      <c r="G10" s="3">
        <v>50</v>
      </c>
      <c r="H10" s="3">
        <v>60</v>
      </c>
      <c r="I10" s="3">
        <v>47</v>
      </c>
    </row>
    <row r="11" spans="1:9" ht="15" customHeight="1" x14ac:dyDescent="0.2">
      <c r="A11" s="3">
        <v>9</v>
      </c>
      <c r="B11" s="3">
        <v>1</v>
      </c>
      <c r="C11" s="3">
        <v>183</v>
      </c>
      <c r="D11" s="3">
        <v>74</v>
      </c>
      <c r="E11" s="3">
        <v>41</v>
      </c>
      <c r="F11" s="3">
        <v>79</v>
      </c>
      <c r="G11" s="3">
        <v>47.5</v>
      </c>
      <c r="H11" s="3">
        <v>59.5</v>
      </c>
      <c r="I11" s="3">
        <v>47</v>
      </c>
    </row>
    <row r="12" spans="1:9" ht="15" customHeight="1" x14ac:dyDescent="0.2">
      <c r="A12" s="3">
        <v>10</v>
      </c>
      <c r="B12" s="3">
        <v>0</v>
      </c>
      <c r="C12" s="3">
        <v>158</v>
      </c>
      <c r="D12" s="3">
        <v>50</v>
      </c>
      <c r="E12" s="3">
        <v>36</v>
      </c>
      <c r="F12" s="3">
        <v>68.5</v>
      </c>
      <c r="G12" s="3">
        <v>44</v>
      </c>
      <c r="H12" s="3">
        <v>57</v>
      </c>
      <c r="I12" s="3">
        <v>41</v>
      </c>
    </row>
    <row r="13" spans="1:9" ht="15" customHeight="1" x14ac:dyDescent="0.2">
      <c r="A13" s="3">
        <v>11</v>
      </c>
      <c r="B13" s="3">
        <v>0</v>
      </c>
      <c r="C13" s="3">
        <v>156</v>
      </c>
      <c r="D13" s="3">
        <v>65</v>
      </c>
      <c r="E13" s="3">
        <v>36</v>
      </c>
      <c r="F13" s="3">
        <v>68</v>
      </c>
      <c r="G13" s="3">
        <v>46</v>
      </c>
      <c r="H13" s="3">
        <v>58</v>
      </c>
      <c r="I13" s="3">
        <v>41</v>
      </c>
    </row>
    <row r="14" spans="1:9" ht="15" customHeight="1" x14ac:dyDescent="0.2">
      <c r="A14" s="3">
        <v>12</v>
      </c>
      <c r="B14" s="3">
        <v>1</v>
      </c>
      <c r="C14" s="3">
        <v>173</v>
      </c>
      <c r="D14" s="3">
        <v>64</v>
      </c>
      <c r="E14" s="3">
        <v>40</v>
      </c>
      <c r="F14" s="3">
        <v>79</v>
      </c>
      <c r="G14" s="3">
        <v>48</v>
      </c>
      <c r="H14" s="3">
        <v>56.5</v>
      </c>
      <c r="I14" s="3">
        <v>47</v>
      </c>
    </row>
    <row r="15" spans="1:9" ht="15" customHeight="1" x14ac:dyDescent="0.2">
      <c r="A15" s="3">
        <v>13</v>
      </c>
      <c r="B15" s="3">
        <v>0</v>
      </c>
      <c r="C15" s="3">
        <v>158</v>
      </c>
      <c r="D15" s="3">
        <v>43</v>
      </c>
      <c r="E15" s="3">
        <v>36</v>
      </c>
      <c r="F15" s="3">
        <v>68</v>
      </c>
      <c r="G15" s="3">
        <v>43</v>
      </c>
      <c r="H15" s="3">
        <v>55</v>
      </c>
      <c r="I15" s="3">
        <v>39</v>
      </c>
    </row>
    <row r="16" spans="1:9" ht="15" customHeight="1" x14ac:dyDescent="0.2">
      <c r="A16" s="3">
        <v>14</v>
      </c>
      <c r="B16" s="3">
        <v>1</v>
      </c>
      <c r="C16" s="3">
        <v>178</v>
      </c>
      <c r="D16" s="3">
        <v>74</v>
      </c>
      <c r="E16" s="3">
        <v>42</v>
      </c>
      <c r="F16" s="3">
        <v>75</v>
      </c>
      <c r="G16" s="3">
        <v>50</v>
      </c>
      <c r="H16" s="3">
        <v>59</v>
      </c>
      <c r="I16" s="3">
        <v>45</v>
      </c>
    </row>
    <row r="17" spans="1:12" ht="15" customHeight="1" x14ac:dyDescent="0.2">
      <c r="A17" s="3">
        <v>15</v>
      </c>
      <c r="B17" s="3">
        <v>1</v>
      </c>
      <c r="C17" s="3">
        <v>181</v>
      </c>
      <c r="D17" s="3">
        <v>76</v>
      </c>
      <c r="E17" s="3">
        <v>43</v>
      </c>
      <c r="F17" s="3">
        <v>83</v>
      </c>
      <c r="G17" s="3">
        <v>51</v>
      </c>
      <c r="H17" s="3">
        <v>57</v>
      </c>
      <c r="I17" s="3">
        <v>43</v>
      </c>
    </row>
    <row r="18" spans="1:12" ht="15" customHeight="1" x14ac:dyDescent="0.2">
      <c r="A18" s="3">
        <v>16</v>
      </c>
      <c r="B18" s="3">
        <v>1</v>
      </c>
      <c r="C18" s="3">
        <v>182</v>
      </c>
      <c r="D18" s="3">
        <v>91</v>
      </c>
      <c r="E18" s="3">
        <v>41</v>
      </c>
      <c r="F18" s="3">
        <v>83</v>
      </c>
      <c r="G18" s="3">
        <v>53</v>
      </c>
      <c r="H18" s="3">
        <v>59</v>
      </c>
      <c r="I18" s="3">
        <v>43</v>
      </c>
    </row>
    <row r="19" spans="1:12" ht="15" customHeight="1" x14ac:dyDescent="0.2">
      <c r="A19" s="3">
        <v>17</v>
      </c>
      <c r="B19" s="3">
        <v>1</v>
      </c>
      <c r="C19" s="3">
        <v>176</v>
      </c>
      <c r="D19" s="3">
        <v>73</v>
      </c>
      <c r="E19" s="3">
        <v>42</v>
      </c>
      <c r="F19" s="3">
        <v>78</v>
      </c>
      <c r="G19" s="3">
        <v>48</v>
      </c>
      <c r="H19" s="3">
        <v>58</v>
      </c>
      <c r="I19" s="3">
        <v>45</v>
      </c>
    </row>
    <row r="20" spans="1:12" ht="15" customHeight="1" x14ac:dyDescent="0.2">
      <c r="A20" s="3">
        <v>18</v>
      </c>
      <c r="B20" s="3">
        <v>0</v>
      </c>
      <c r="C20" s="3">
        <v>162</v>
      </c>
      <c r="D20" s="3">
        <v>68</v>
      </c>
      <c r="E20" s="3">
        <v>39</v>
      </c>
      <c r="F20" s="3">
        <v>72</v>
      </c>
      <c r="G20" s="3">
        <v>44</v>
      </c>
      <c r="H20" s="3">
        <v>59</v>
      </c>
      <c r="I20" s="3">
        <v>42</v>
      </c>
    </row>
    <row r="21" spans="1:12" ht="15" customHeight="1" x14ac:dyDescent="0.2">
      <c r="A21" s="3">
        <v>19</v>
      </c>
      <c r="B21" s="3">
        <v>0</v>
      </c>
      <c r="C21" s="3">
        <v>156</v>
      </c>
      <c r="D21" s="3">
        <v>52</v>
      </c>
      <c r="E21" s="3">
        <v>36</v>
      </c>
      <c r="F21" s="3">
        <v>67</v>
      </c>
      <c r="G21" s="3">
        <v>36</v>
      </c>
      <c r="H21" s="3">
        <v>56</v>
      </c>
      <c r="I21" s="3">
        <v>41</v>
      </c>
    </row>
    <row r="22" spans="1:12" ht="15" customHeight="1" x14ac:dyDescent="0.2">
      <c r="A22" s="3">
        <v>20</v>
      </c>
      <c r="B22" s="3">
        <v>0</v>
      </c>
      <c r="C22" s="3">
        <v>152</v>
      </c>
      <c r="D22" s="3">
        <v>45</v>
      </c>
      <c r="E22" s="3">
        <v>34</v>
      </c>
      <c r="F22" s="3">
        <v>66</v>
      </c>
      <c r="G22" s="3">
        <v>40</v>
      </c>
      <c r="H22" s="3">
        <v>55</v>
      </c>
      <c r="I22" s="3">
        <v>38</v>
      </c>
    </row>
    <row r="23" spans="1:12" ht="15" customHeight="1" x14ac:dyDescent="0.2">
      <c r="A23" s="3">
        <v>21</v>
      </c>
      <c r="B23" s="3">
        <v>1</v>
      </c>
      <c r="C23" s="3">
        <v>181</v>
      </c>
      <c r="D23" s="3">
        <v>80</v>
      </c>
      <c r="E23" s="3">
        <v>43</v>
      </c>
      <c r="F23" s="3">
        <v>76</v>
      </c>
      <c r="G23" s="3">
        <v>49</v>
      </c>
      <c r="H23" s="3">
        <v>57</v>
      </c>
      <c r="I23" s="3">
        <v>46</v>
      </c>
    </row>
    <row r="24" spans="1:12" ht="15" customHeight="1" x14ac:dyDescent="0.2">
      <c r="A24" s="3">
        <v>22</v>
      </c>
      <c r="B24" s="3">
        <v>1</v>
      </c>
      <c r="C24" s="3">
        <v>173</v>
      </c>
      <c r="D24" s="3">
        <v>69</v>
      </c>
      <c r="E24" s="3">
        <v>41</v>
      </c>
      <c r="F24" s="3">
        <v>74</v>
      </c>
      <c r="G24" s="3">
        <v>48</v>
      </c>
      <c r="H24" s="3">
        <v>56</v>
      </c>
      <c r="I24" s="3">
        <v>44</v>
      </c>
    </row>
    <row r="25" spans="1:12" ht="15" customHeight="1" x14ac:dyDescent="0.2">
      <c r="A25" s="3">
        <v>23</v>
      </c>
      <c r="B25" s="3">
        <v>0</v>
      </c>
      <c r="C25" s="3">
        <v>155</v>
      </c>
      <c r="D25" s="3">
        <v>53</v>
      </c>
      <c r="E25" s="3">
        <v>36</v>
      </c>
      <c r="F25" s="3">
        <v>67</v>
      </c>
      <c r="G25" s="3">
        <v>43</v>
      </c>
      <c r="H25" s="3">
        <v>56</v>
      </c>
      <c r="I25" s="3">
        <v>38</v>
      </c>
    </row>
    <row r="26" spans="1:12" ht="15" customHeight="1" x14ac:dyDescent="0.2">
      <c r="A26" s="3">
        <v>24</v>
      </c>
      <c r="B26" s="3">
        <v>1</v>
      </c>
      <c r="C26" s="3">
        <v>189</v>
      </c>
      <c r="D26" s="3">
        <v>87</v>
      </c>
      <c r="E26" s="3">
        <v>45</v>
      </c>
      <c r="F26" s="3">
        <v>82</v>
      </c>
      <c r="G26" s="3">
        <v>53</v>
      </c>
      <c r="H26" s="3">
        <v>61</v>
      </c>
      <c r="I26" s="3">
        <v>52</v>
      </c>
    </row>
    <row r="27" spans="1:12" ht="15" customHeight="1" x14ac:dyDescent="0.2">
      <c r="A27" s="3">
        <v>25</v>
      </c>
      <c r="B27" s="3">
        <v>0</v>
      </c>
      <c r="C27" s="3">
        <v>170</v>
      </c>
      <c r="D27" s="3">
        <v>70</v>
      </c>
      <c r="E27" s="3">
        <v>38</v>
      </c>
      <c r="F27" s="3">
        <v>73</v>
      </c>
      <c r="G27" s="3">
        <v>45</v>
      </c>
      <c r="H27" s="3">
        <v>56</v>
      </c>
      <c r="I27" s="3">
        <v>43</v>
      </c>
    </row>
    <row r="28" spans="1:12" ht="15" customHeight="1" x14ac:dyDescent="0.2">
      <c r="A28" s="3">
        <v>26</v>
      </c>
      <c r="B28" s="3">
        <v>1</v>
      </c>
      <c r="C28" s="3">
        <v>170</v>
      </c>
      <c r="D28" s="3">
        <v>67</v>
      </c>
      <c r="E28" s="3">
        <v>40</v>
      </c>
      <c r="F28" s="3">
        <v>77</v>
      </c>
      <c r="G28" s="3">
        <v>46.5</v>
      </c>
      <c r="H28" s="3">
        <v>58</v>
      </c>
      <c r="I28" s="3">
        <v>44.5</v>
      </c>
    </row>
    <row r="29" spans="1:12" ht="15" customHeight="1" x14ac:dyDescent="0.2">
      <c r="A29" s="3">
        <v>27</v>
      </c>
      <c r="B29" s="3">
        <v>0</v>
      </c>
      <c r="C29" s="3">
        <v>168</v>
      </c>
      <c r="D29" s="3">
        <v>56</v>
      </c>
      <c r="E29" s="3">
        <v>37.5</v>
      </c>
      <c r="F29" s="3">
        <v>70.5</v>
      </c>
      <c r="G29" s="3">
        <v>48</v>
      </c>
      <c r="H29" s="3">
        <v>60</v>
      </c>
      <c r="I29" s="3">
        <v>40</v>
      </c>
    </row>
    <row r="30" spans="1:12" x14ac:dyDescent="0.2">
      <c r="A30" s="4" t="s">
        <v>10</v>
      </c>
      <c r="B30" s="4" t="s">
        <v>2</v>
      </c>
      <c r="C30" s="4" t="s">
        <v>3</v>
      </c>
      <c r="D30" s="4" t="s">
        <v>4</v>
      </c>
      <c r="E30" s="4" t="s">
        <v>5</v>
      </c>
      <c r="F30" s="4" t="s">
        <v>6</v>
      </c>
      <c r="G30" s="4" t="s">
        <v>7</v>
      </c>
      <c r="H30" s="4" t="s">
        <v>8</v>
      </c>
      <c r="I30" s="4" t="s">
        <v>9</v>
      </c>
    </row>
    <row r="31" spans="1:12" ht="15" customHeight="1" x14ac:dyDescent="0.2">
      <c r="A31" s="5" t="s">
        <v>19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">
      <c r="A32" s="7">
        <f t="shared" ref="A32:I32" si="0">+AVERAGE(A3:A29)</f>
        <v>14</v>
      </c>
      <c r="B32" s="7">
        <f t="shared" si="0"/>
        <v>0.44444444444444442</v>
      </c>
      <c r="C32" s="7">
        <f t="shared" si="0"/>
        <v>168.77777777777777</v>
      </c>
      <c r="D32" s="7">
        <f t="shared" si="0"/>
        <v>63.888888888888886</v>
      </c>
      <c r="E32" s="7">
        <f t="shared" si="0"/>
        <v>38.981481481481481</v>
      </c>
      <c r="F32" s="7">
        <f t="shared" si="0"/>
        <v>73.462962962962962</v>
      </c>
      <c r="G32" s="7">
        <f t="shared" si="0"/>
        <v>45.851851851851855</v>
      </c>
      <c r="H32" s="7">
        <f t="shared" si="0"/>
        <v>57.24074074074074</v>
      </c>
      <c r="I32" s="7">
        <f t="shared" si="0"/>
        <v>43.092592592592595</v>
      </c>
      <c r="J32" s="8" t="s">
        <v>11</v>
      </c>
    </row>
    <row r="33" spans="1:29" x14ac:dyDescent="0.2">
      <c r="A33" s="7">
        <f t="shared" ref="A33:I33" si="1">+VAR(A3:A29)</f>
        <v>63</v>
      </c>
      <c r="B33" s="7">
        <f t="shared" si="1"/>
        <v>0.25641025641025644</v>
      </c>
      <c r="C33" s="7">
        <f t="shared" si="1"/>
        <v>103.94871794871794</v>
      </c>
      <c r="D33" s="7">
        <f t="shared" si="1"/>
        <v>163.87179487179506</v>
      </c>
      <c r="E33" s="7">
        <f t="shared" si="1"/>
        <v>8.2015669515669529</v>
      </c>
      <c r="F33" s="7">
        <f t="shared" si="1"/>
        <v>24.575498575498571</v>
      </c>
      <c r="G33" s="7">
        <f t="shared" si="1"/>
        <v>16.169515669515668</v>
      </c>
      <c r="H33" s="7">
        <f t="shared" si="1"/>
        <v>3.3917378917378898</v>
      </c>
      <c r="I33" s="7">
        <f t="shared" si="1"/>
        <v>9.9622507122507127</v>
      </c>
      <c r="J33" s="8" t="s">
        <v>12</v>
      </c>
    </row>
    <row r="34" spans="1:29" x14ac:dyDescent="0.2">
      <c r="A34" s="7">
        <f t="shared" ref="A34:I34" si="2">+SQRT(A33)</f>
        <v>7.9372539331937721</v>
      </c>
      <c r="B34" s="7">
        <f t="shared" si="2"/>
        <v>0.50636968354183332</v>
      </c>
      <c r="C34" s="7">
        <f t="shared" si="2"/>
        <v>10.195524407734894</v>
      </c>
      <c r="D34" s="7">
        <f t="shared" si="2"/>
        <v>12.801241926930178</v>
      </c>
      <c r="E34" s="7">
        <f t="shared" si="2"/>
        <v>2.8638378011973642</v>
      </c>
      <c r="F34" s="7">
        <f t="shared" si="2"/>
        <v>4.9573681097431699</v>
      </c>
      <c r="G34" s="7">
        <f t="shared" si="2"/>
        <v>4.0211336299003628</v>
      </c>
      <c r="H34" s="7">
        <f t="shared" si="2"/>
        <v>1.841667150094688</v>
      </c>
      <c r="I34" s="7">
        <f t="shared" si="2"/>
        <v>3.1563033302030261</v>
      </c>
      <c r="J34" s="8" t="s">
        <v>13</v>
      </c>
    </row>
    <row r="37" spans="1:29" x14ac:dyDescent="0.2">
      <c r="A37" s="9" t="s">
        <v>18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AC37" s="10" t="s">
        <v>14</v>
      </c>
    </row>
    <row r="38" spans="1:29" x14ac:dyDescent="0.2">
      <c r="A38" s="16">
        <f>A3</f>
        <v>1</v>
      </c>
      <c r="B38" s="16">
        <f>A4</f>
        <v>2</v>
      </c>
      <c r="C38" s="16">
        <f>A5</f>
        <v>3</v>
      </c>
      <c r="D38" s="16">
        <f>A6</f>
        <v>4</v>
      </c>
      <c r="E38" s="16">
        <f>A7</f>
        <v>5</v>
      </c>
      <c r="F38" s="16">
        <f>A8</f>
        <v>6</v>
      </c>
      <c r="G38" s="16">
        <f>A9</f>
        <v>7</v>
      </c>
      <c r="H38" s="16">
        <f>A10</f>
        <v>8</v>
      </c>
      <c r="I38" s="16">
        <f>A11</f>
        <v>9</v>
      </c>
      <c r="J38" s="16">
        <f>A12</f>
        <v>10</v>
      </c>
      <c r="K38" s="16">
        <f>A13</f>
        <v>11</v>
      </c>
      <c r="L38" s="16">
        <f>A14</f>
        <v>12</v>
      </c>
      <c r="M38" s="16">
        <f>A15</f>
        <v>13</v>
      </c>
      <c r="N38" s="16">
        <f>A16</f>
        <v>14</v>
      </c>
      <c r="O38" s="16">
        <f>A17</f>
        <v>15</v>
      </c>
      <c r="P38" s="16">
        <f>A18</f>
        <v>16</v>
      </c>
      <c r="Q38" s="16">
        <f>A19</f>
        <v>17</v>
      </c>
      <c r="R38" s="16">
        <f>A20</f>
        <v>18</v>
      </c>
      <c r="S38" s="16">
        <f>A21</f>
        <v>19</v>
      </c>
      <c r="T38" s="16">
        <f>A22</f>
        <v>20</v>
      </c>
      <c r="U38" s="16">
        <f>A23</f>
        <v>21</v>
      </c>
      <c r="V38" s="16">
        <f>A24</f>
        <v>22</v>
      </c>
      <c r="W38" s="16">
        <f>A25</f>
        <v>23</v>
      </c>
      <c r="X38" s="16">
        <f>A26</f>
        <v>24</v>
      </c>
      <c r="Y38" s="16">
        <f>A27</f>
        <v>25</v>
      </c>
      <c r="Z38" s="16">
        <f>A28</f>
        <v>26</v>
      </c>
      <c r="AA38" s="16">
        <f>A29</f>
        <v>27</v>
      </c>
      <c r="AC38" s="12">
        <v>1</v>
      </c>
    </row>
    <row r="39" spans="1:29" x14ac:dyDescent="0.2">
      <c r="A39" s="16">
        <f>B3</f>
        <v>0</v>
      </c>
      <c r="B39" s="16">
        <f>B4</f>
        <v>1</v>
      </c>
      <c r="C39" s="16">
        <f>B5</f>
        <v>0</v>
      </c>
      <c r="D39" s="16">
        <f>B6</f>
        <v>0</v>
      </c>
      <c r="E39" s="16">
        <f>B7</f>
        <v>0</v>
      </c>
      <c r="F39" s="16">
        <f>B8</f>
        <v>0</v>
      </c>
      <c r="G39" s="16">
        <f>B9</f>
        <v>0</v>
      </c>
      <c r="H39" s="16">
        <f>B10</f>
        <v>1</v>
      </c>
      <c r="I39" s="16">
        <f>B11</f>
        <v>1</v>
      </c>
      <c r="J39" s="16">
        <f>B12</f>
        <v>0</v>
      </c>
      <c r="K39" s="16">
        <f>B13</f>
        <v>0</v>
      </c>
      <c r="L39" s="16">
        <f>B14</f>
        <v>1</v>
      </c>
      <c r="M39" s="16">
        <f>B15</f>
        <v>0</v>
      </c>
      <c r="N39" s="16">
        <f>B16</f>
        <v>1</v>
      </c>
      <c r="O39" s="16">
        <f>B17</f>
        <v>1</v>
      </c>
      <c r="P39" s="16">
        <f>B18</f>
        <v>1</v>
      </c>
      <c r="Q39" s="16">
        <f>B19</f>
        <v>1</v>
      </c>
      <c r="R39" s="16">
        <f>B20</f>
        <v>0</v>
      </c>
      <c r="S39" s="16">
        <f>B21</f>
        <v>0</v>
      </c>
      <c r="T39" s="16">
        <f>B22</f>
        <v>0</v>
      </c>
      <c r="U39" s="16">
        <f>B23</f>
        <v>1</v>
      </c>
      <c r="V39" s="16">
        <f>B24</f>
        <v>1</v>
      </c>
      <c r="W39" s="16">
        <f>B25</f>
        <v>0</v>
      </c>
      <c r="X39" s="16">
        <f>B26</f>
        <v>1</v>
      </c>
      <c r="Y39" s="16">
        <f>B27</f>
        <v>0</v>
      </c>
      <c r="Z39" s="16">
        <f>B28</f>
        <v>1</v>
      </c>
      <c r="AA39" s="16">
        <f>B29</f>
        <v>0</v>
      </c>
      <c r="AC39" s="12">
        <v>1</v>
      </c>
    </row>
    <row r="40" spans="1:29" x14ac:dyDescent="0.2">
      <c r="A40" s="16">
        <f>C3</f>
        <v>159</v>
      </c>
      <c r="B40" s="16">
        <f>C4</f>
        <v>164</v>
      </c>
      <c r="C40" s="16">
        <f>C5</f>
        <v>172</v>
      </c>
      <c r="D40" s="16">
        <f>C6</f>
        <v>167</v>
      </c>
      <c r="E40" s="16">
        <f>C7</f>
        <v>164</v>
      </c>
      <c r="F40" s="16">
        <f>C8</f>
        <v>161</v>
      </c>
      <c r="G40" s="16">
        <f>C9</f>
        <v>168</v>
      </c>
      <c r="H40" s="16">
        <f>C10</f>
        <v>181</v>
      </c>
      <c r="I40" s="16">
        <f>C11</f>
        <v>183</v>
      </c>
      <c r="J40" s="16">
        <f>C12</f>
        <v>158</v>
      </c>
      <c r="K40" s="16">
        <f>C13</f>
        <v>156</v>
      </c>
      <c r="L40" s="16">
        <f>C14</f>
        <v>173</v>
      </c>
      <c r="M40" s="16">
        <f>C15</f>
        <v>158</v>
      </c>
      <c r="N40" s="16">
        <f>C16</f>
        <v>178</v>
      </c>
      <c r="O40" s="16">
        <f>C17</f>
        <v>181</v>
      </c>
      <c r="P40" s="16">
        <f>C18</f>
        <v>182</v>
      </c>
      <c r="Q40" s="16">
        <f>C19</f>
        <v>176</v>
      </c>
      <c r="R40" s="16">
        <f>C20</f>
        <v>162</v>
      </c>
      <c r="S40" s="16">
        <f>C21</f>
        <v>156</v>
      </c>
      <c r="T40" s="16">
        <f>C22</f>
        <v>152</v>
      </c>
      <c r="U40" s="16">
        <f>C23</f>
        <v>181</v>
      </c>
      <c r="V40" s="16">
        <f>C24</f>
        <v>173</v>
      </c>
      <c r="W40" s="16">
        <f>C25</f>
        <v>155</v>
      </c>
      <c r="X40" s="16">
        <f>C26</f>
        <v>189</v>
      </c>
      <c r="Y40" s="16">
        <f>C27</f>
        <v>170</v>
      </c>
      <c r="Z40" s="16">
        <f>C28</f>
        <v>170</v>
      </c>
      <c r="AA40" s="16">
        <f>C29</f>
        <v>168</v>
      </c>
      <c r="AC40" s="12">
        <v>1</v>
      </c>
    </row>
    <row r="41" spans="1:29" x14ac:dyDescent="0.2">
      <c r="A41" s="16">
        <f>D3</f>
        <v>49</v>
      </c>
      <c r="B41" s="16">
        <f>D4</f>
        <v>62</v>
      </c>
      <c r="C41" s="16">
        <f>D5</f>
        <v>65</v>
      </c>
      <c r="D41" s="16">
        <f>D6</f>
        <v>52</v>
      </c>
      <c r="E41" s="16">
        <f>D7</f>
        <v>51</v>
      </c>
      <c r="F41" s="16">
        <f>D8</f>
        <v>67</v>
      </c>
      <c r="G41" s="16">
        <f>D9</f>
        <v>48</v>
      </c>
      <c r="H41" s="16">
        <f>D10</f>
        <v>74</v>
      </c>
      <c r="I41" s="16">
        <f>D11</f>
        <v>74</v>
      </c>
      <c r="J41" s="16">
        <f>D12</f>
        <v>50</v>
      </c>
      <c r="K41" s="16">
        <f>D13</f>
        <v>65</v>
      </c>
      <c r="L41" s="16">
        <f>D14</f>
        <v>64</v>
      </c>
      <c r="M41" s="16">
        <f>D15</f>
        <v>43</v>
      </c>
      <c r="N41" s="16">
        <f>D16</f>
        <v>74</v>
      </c>
      <c r="O41" s="16">
        <f>D17</f>
        <v>76</v>
      </c>
      <c r="P41" s="16">
        <f>D18</f>
        <v>91</v>
      </c>
      <c r="Q41" s="16">
        <f>D19</f>
        <v>73</v>
      </c>
      <c r="R41" s="16">
        <f>D20</f>
        <v>68</v>
      </c>
      <c r="S41" s="16">
        <f>D21</f>
        <v>52</v>
      </c>
      <c r="T41" s="16">
        <f>D22</f>
        <v>45</v>
      </c>
      <c r="U41" s="16">
        <f>D23</f>
        <v>80</v>
      </c>
      <c r="V41" s="16">
        <f>D24</f>
        <v>69</v>
      </c>
      <c r="W41" s="16">
        <f>D25</f>
        <v>53</v>
      </c>
      <c r="X41" s="16">
        <f>D26</f>
        <v>87</v>
      </c>
      <c r="Y41" s="16">
        <f>D27</f>
        <v>70</v>
      </c>
      <c r="Z41" s="16">
        <f>D28</f>
        <v>67</v>
      </c>
      <c r="AA41" s="16">
        <f>D29</f>
        <v>56</v>
      </c>
      <c r="AC41" s="12">
        <v>1</v>
      </c>
    </row>
    <row r="42" spans="1:29" x14ac:dyDescent="0.2">
      <c r="A42" s="16">
        <f>E3</f>
        <v>36</v>
      </c>
      <c r="B42" s="16">
        <f>E4</f>
        <v>39</v>
      </c>
      <c r="C42" s="16">
        <f>E5</f>
        <v>38</v>
      </c>
      <c r="D42" s="16">
        <f>E6</f>
        <v>37</v>
      </c>
      <c r="E42" s="16">
        <f>E7</f>
        <v>36</v>
      </c>
      <c r="F42" s="16">
        <f>E8</f>
        <v>38</v>
      </c>
      <c r="G42" s="16">
        <f>E9</f>
        <v>39</v>
      </c>
      <c r="H42" s="16">
        <f>E10</f>
        <v>43</v>
      </c>
      <c r="I42" s="16">
        <f>E11</f>
        <v>41</v>
      </c>
      <c r="J42" s="16">
        <f>E12</f>
        <v>36</v>
      </c>
      <c r="K42" s="16">
        <f>E13</f>
        <v>36</v>
      </c>
      <c r="L42" s="16">
        <f>E14</f>
        <v>40</v>
      </c>
      <c r="M42" s="16">
        <f>E15</f>
        <v>36</v>
      </c>
      <c r="N42" s="16">
        <f>E16</f>
        <v>42</v>
      </c>
      <c r="O42" s="16">
        <f>E17</f>
        <v>43</v>
      </c>
      <c r="P42" s="16">
        <f>E18</f>
        <v>41</v>
      </c>
      <c r="Q42" s="16">
        <f>E19</f>
        <v>42</v>
      </c>
      <c r="R42" s="16">
        <f>E20</f>
        <v>39</v>
      </c>
      <c r="S42" s="16">
        <f>E21</f>
        <v>36</v>
      </c>
      <c r="T42" s="16">
        <f>E22</f>
        <v>34</v>
      </c>
      <c r="U42" s="16">
        <f>E23</f>
        <v>43</v>
      </c>
      <c r="V42" s="16">
        <f>E24</f>
        <v>41</v>
      </c>
      <c r="W42" s="16">
        <f>E25</f>
        <v>36</v>
      </c>
      <c r="X42" s="16">
        <f>E26</f>
        <v>45</v>
      </c>
      <c r="Y42" s="16">
        <f>E27</f>
        <v>38</v>
      </c>
      <c r="Z42" s="16">
        <f>E28</f>
        <v>40</v>
      </c>
      <c r="AA42" s="16">
        <f>E29</f>
        <v>37.5</v>
      </c>
      <c r="AC42" s="12">
        <v>1</v>
      </c>
    </row>
    <row r="43" spans="1:29" x14ac:dyDescent="0.2">
      <c r="A43" s="16">
        <f>F3</f>
        <v>68</v>
      </c>
      <c r="B43" s="16">
        <f>F4</f>
        <v>73</v>
      </c>
      <c r="C43" s="16">
        <f>F5</f>
        <v>75</v>
      </c>
      <c r="D43" s="16">
        <f>F6</f>
        <v>73</v>
      </c>
      <c r="E43" s="16">
        <f>F7</f>
        <v>71</v>
      </c>
      <c r="F43" s="16">
        <f>F8</f>
        <v>71</v>
      </c>
      <c r="G43" s="16">
        <f>F9</f>
        <v>72.5</v>
      </c>
      <c r="H43" s="16">
        <f>F10</f>
        <v>74</v>
      </c>
      <c r="I43" s="16">
        <f>F11</f>
        <v>79</v>
      </c>
      <c r="J43" s="16">
        <f>F12</f>
        <v>68.5</v>
      </c>
      <c r="K43" s="16">
        <f>F13</f>
        <v>68</v>
      </c>
      <c r="L43" s="16">
        <f>F14</f>
        <v>79</v>
      </c>
      <c r="M43" s="16">
        <f>F15</f>
        <v>68</v>
      </c>
      <c r="N43" s="16">
        <f>F16</f>
        <v>75</v>
      </c>
      <c r="O43" s="16">
        <f>F17</f>
        <v>83</v>
      </c>
      <c r="P43" s="16">
        <f>F18</f>
        <v>83</v>
      </c>
      <c r="Q43" s="16">
        <f>F19</f>
        <v>78</v>
      </c>
      <c r="R43" s="16">
        <f>F20</f>
        <v>72</v>
      </c>
      <c r="S43" s="16">
        <f>F21</f>
        <v>67</v>
      </c>
      <c r="T43" s="16">
        <f>F22</f>
        <v>66</v>
      </c>
      <c r="U43" s="16">
        <f>F23</f>
        <v>76</v>
      </c>
      <c r="V43" s="16">
        <f>F24</f>
        <v>74</v>
      </c>
      <c r="W43" s="16">
        <f>F25</f>
        <v>67</v>
      </c>
      <c r="X43" s="16">
        <f>F26</f>
        <v>82</v>
      </c>
      <c r="Y43" s="16">
        <f>F27</f>
        <v>73</v>
      </c>
      <c r="Z43" s="16">
        <f>F28</f>
        <v>77</v>
      </c>
      <c r="AA43" s="16">
        <f>F29</f>
        <v>70.5</v>
      </c>
      <c r="AC43" s="12">
        <v>1</v>
      </c>
    </row>
    <row r="44" spans="1:29" x14ac:dyDescent="0.2">
      <c r="A44" s="16">
        <f>G3</f>
        <v>42</v>
      </c>
      <c r="B44" s="16">
        <f>G4</f>
        <v>44</v>
      </c>
      <c r="C44" s="16">
        <f>G5</f>
        <v>48</v>
      </c>
      <c r="D44" s="16">
        <f>G6</f>
        <v>41.5</v>
      </c>
      <c r="E44" s="16">
        <f>G7</f>
        <v>44.5</v>
      </c>
      <c r="F44" s="16">
        <f>G8</f>
        <v>44</v>
      </c>
      <c r="G44" s="16">
        <f>G9</f>
        <v>41</v>
      </c>
      <c r="H44" s="16">
        <f>G10</f>
        <v>50</v>
      </c>
      <c r="I44" s="16">
        <f>G11</f>
        <v>47.5</v>
      </c>
      <c r="J44" s="16">
        <f>G12</f>
        <v>44</v>
      </c>
      <c r="K44" s="16">
        <f>G13</f>
        <v>46</v>
      </c>
      <c r="L44" s="16">
        <f>G14</f>
        <v>48</v>
      </c>
      <c r="M44" s="16">
        <f>G15</f>
        <v>43</v>
      </c>
      <c r="N44" s="16">
        <f>G16</f>
        <v>50</v>
      </c>
      <c r="O44" s="16">
        <f>G17</f>
        <v>51</v>
      </c>
      <c r="P44" s="16">
        <f>G18</f>
        <v>53</v>
      </c>
      <c r="Q44" s="16">
        <f>G19</f>
        <v>48</v>
      </c>
      <c r="R44" s="16">
        <f>G20</f>
        <v>44</v>
      </c>
      <c r="S44" s="16">
        <f>G21</f>
        <v>36</v>
      </c>
      <c r="T44" s="16">
        <f>G22</f>
        <v>40</v>
      </c>
      <c r="U44" s="16">
        <f>G23</f>
        <v>49</v>
      </c>
      <c r="V44" s="16">
        <f>G24</f>
        <v>48</v>
      </c>
      <c r="W44" s="16">
        <f>G25</f>
        <v>43</v>
      </c>
      <c r="X44" s="16">
        <f>G26</f>
        <v>53</v>
      </c>
      <c r="Y44" s="16">
        <f>G27</f>
        <v>45</v>
      </c>
      <c r="Z44" s="16">
        <f>G28</f>
        <v>46.5</v>
      </c>
      <c r="AA44" s="16">
        <f>G29</f>
        <v>48</v>
      </c>
      <c r="AC44" s="12">
        <v>1</v>
      </c>
    </row>
    <row r="45" spans="1:29" x14ac:dyDescent="0.2">
      <c r="A45" s="16">
        <f>H3</f>
        <v>57</v>
      </c>
      <c r="B45" s="16">
        <f>H4</f>
        <v>55</v>
      </c>
      <c r="C45" s="16">
        <f>H5</f>
        <v>58</v>
      </c>
      <c r="D45" s="16">
        <f>H6</f>
        <v>58</v>
      </c>
      <c r="E45" s="16">
        <f>H7</f>
        <v>54</v>
      </c>
      <c r="F45" s="16">
        <f>H8</f>
        <v>56</v>
      </c>
      <c r="G45" s="16">
        <f>H9</f>
        <v>54.5</v>
      </c>
      <c r="H45" s="16">
        <f>H10</f>
        <v>60</v>
      </c>
      <c r="I45" s="16">
        <f>H11</f>
        <v>59.5</v>
      </c>
      <c r="J45" s="16">
        <f>H12</f>
        <v>57</v>
      </c>
      <c r="K45" s="16">
        <f>H13</f>
        <v>58</v>
      </c>
      <c r="L45" s="16">
        <f>H14</f>
        <v>56.5</v>
      </c>
      <c r="M45" s="16">
        <f>H15</f>
        <v>55</v>
      </c>
      <c r="N45" s="16">
        <f>H16</f>
        <v>59</v>
      </c>
      <c r="O45" s="16">
        <f>H17</f>
        <v>57</v>
      </c>
      <c r="P45" s="16">
        <f>H18</f>
        <v>59</v>
      </c>
      <c r="Q45" s="16">
        <f>H19</f>
        <v>58</v>
      </c>
      <c r="R45" s="16">
        <f>H20</f>
        <v>59</v>
      </c>
      <c r="S45" s="16">
        <f>H21</f>
        <v>56</v>
      </c>
      <c r="T45" s="16">
        <f>H22</f>
        <v>55</v>
      </c>
      <c r="U45" s="16">
        <f>H23</f>
        <v>57</v>
      </c>
      <c r="V45" s="16">
        <f>H24</f>
        <v>56</v>
      </c>
      <c r="W45" s="16">
        <f>H25</f>
        <v>56</v>
      </c>
      <c r="X45" s="16">
        <f>H26</f>
        <v>61</v>
      </c>
      <c r="Y45" s="16">
        <f>H27</f>
        <v>56</v>
      </c>
      <c r="Z45" s="16">
        <f>H28</f>
        <v>58</v>
      </c>
      <c r="AA45" s="16">
        <f>H29</f>
        <v>60</v>
      </c>
      <c r="AC45" s="12">
        <v>1</v>
      </c>
    </row>
    <row r="46" spans="1:29" x14ac:dyDescent="0.2">
      <c r="A46" s="16">
        <f>I3</f>
        <v>40</v>
      </c>
      <c r="B46" s="16">
        <f>I4</f>
        <v>44</v>
      </c>
      <c r="C46" s="16">
        <f>I5</f>
        <v>44</v>
      </c>
      <c r="D46" s="16">
        <f>I6</f>
        <v>44</v>
      </c>
      <c r="E46" s="16">
        <f>I7</f>
        <v>40</v>
      </c>
      <c r="F46" s="16">
        <f>I8</f>
        <v>42</v>
      </c>
      <c r="G46" s="16">
        <f>I9</f>
        <v>43</v>
      </c>
      <c r="H46" s="16">
        <f>I10</f>
        <v>47</v>
      </c>
      <c r="I46" s="16">
        <f>I11</f>
        <v>47</v>
      </c>
      <c r="J46" s="16">
        <f>I12</f>
        <v>41</v>
      </c>
      <c r="K46" s="16">
        <f>I13</f>
        <v>41</v>
      </c>
      <c r="L46" s="16">
        <f>I14</f>
        <v>47</v>
      </c>
      <c r="M46" s="16">
        <f>I15</f>
        <v>39</v>
      </c>
      <c r="N46" s="16">
        <f>I16</f>
        <v>45</v>
      </c>
      <c r="O46" s="16">
        <f>I17</f>
        <v>43</v>
      </c>
      <c r="P46" s="16">
        <f>I18</f>
        <v>43</v>
      </c>
      <c r="Q46" s="16">
        <f>I19</f>
        <v>45</v>
      </c>
      <c r="R46" s="16">
        <f>I20</f>
        <v>42</v>
      </c>
      <c r="S46" s="16">
        <f>I21</f>
        <v>41</v>
      </c>
      <c r="T46" s="16">
        <f>I22</f>
        <v>38</v>
      </c>
      <c r="U46" s="16">
        <f>I23</f>
        <v>46</v>
      </c>
      <c r="V46" s="16">
        <f>I24</f>
        <v>44</v>
      </c>
      <c r="W46" s="16">
        <f>I25</f>
        <v>38</v>
      </c>
      <c r="X46" s="16">
        <f>I26</f>
        <v>52</v>
      </c>
      <c r="Y46" s="16">
        <f>I27</f>
        <v>43</v>
      </c>
      <c r="Z46" s="16">
        <f>I28</f>
        <v>44.5</v>
      </c>
      <c r="AA46" s="16">
        <f>I29</f>
        <v>40</v>
      </c>
      <c r="AC46" s="12">
        <v>1</v>
      </c>
    </row>
    <row r="47" spans="1:29" x14ac:dyDescent="0.2">
      <c r="AC47" s="12">
        <v>1</v>
      </c>
    </row>
    <row r="48" spans="1:29" x14ac:dyDescent="0.2">
      <c r="A48" s="9" t="s">
        <v>17</v>
      </c>
      <c r="B48" s="6"/>
      <c r="C48" s="6"/>
      <c r="D48" s="6"/>
      <c r="E48" s="17"/>
      <c r="F48" s="17"/>
      <c r="G48" s="17"/>
      <c r="H48" s="17"/>
      <c r="I48" s="17"/>
      <c r="J48" s="17"/>
      <c r="K48" s="17"/>
      <c r="L48" s="17"/>
      <c r="AC48" s="12">
        <v>1</v>
      </c>
    </row>
    <row r="49" spans="1:29" x14ac:dyDescent="0.2">
      <c r="A49" s="7">
        <f t="array" ref="A49:A57">MMULT(A38:AA46,AC38:AC64)</f>
        <v>378</v>
      </c>
      <c r="AC49" s="12">
        <v>1</v>
      </c>
    </row>
    <row r="50" spans="1:29" x14ac:dyDescent="0.2">
      <c r="A50" s="7">
        <v>12</v>
      </c>
      <c r="AC50" s="12">
        <v>1</v>
      </c>
    </row>
    <row r="51" spans="1:29" x14ac:dyDescent="0.2">
      <c r="A51" s="7">
        <v>4557</v>
      </c>
      <c r="AC51" s="12">
        <v>1</v>
      </c>
    </row>
    <row r="52" spans="1:29" x14ac:dyDescent="0.2">
      <c r="A52" s="7">
        <v>1725</v>
      </c>
      <c r="AC52" s="12">
        <v>1</v>
      </c>
    </row>
    <row r="53" spans="1:29" x14ac:dyDescent="0.2">
      <c r="A53" s="7">
        <v>1052.5</v>
      </c>
      <c r="AC53" s="12">
        <v>1</v>
      </c>
    </row>
    <row r="54" spans="1:29" x14ac:dyDescent="0.2">
      <c r="A54" s="7">
        <v>1983.5</v>
      </c>
      <c r="AC54" s="12">
        <v>1</v>
      </c>
    </row>
    <row r="55" spans="1:29" x14ac:dyDescent="0.2">
      <c r="A55" s="7">
        <v>1238</v>
      </c>
      <c r="AC55" s="12">
        <v>1</v>
      </c>
    </row>
    <row r="56" spans="1:29" x14ac:dyDescent="0.2">
      <c r="A56" s="7">
        <v>1545.5</v>
      </c>
      <c r="AC56" s="12">
        <v>1</v>
      </c>
    </row>
    <row r="57" spans="1:29" x14ac:dyDescent="0.2">
      <c r="A57" s="7">
        <v>1163.5</v>
      </c>
      <c r="AC57" s="12">
        <v>1</v>
      </c>
    </row>
    <row r="58" spans="1:29" x14ac:dyDescent="0.2">
      <c r="AC58" s="12">
        <v>1</v>
      </c>
    </row>
    <row r="59" spans="1:29" x14ac:dyDescent="0.2">
      <c r="A59" s="13">
        <v>27</v>
      </c>
      <c r="B59" s="8" t="s">
        <v>15</v>
      </c>
      <c r="AC59" s="12">
        <v>1</v>
      </c>
    </row>
    <row r="60" spans="1:29" x14ac:dyDescent="0.2">
      <c r="A60" s="9" t="s">
        <v>16</v>
      </c>
      <c r="B60" s="6"/>
      <c r="C60" s="6"/>
      <c r="D60" s="6"/>
      <c r="E60" s="17"/>
      <c r="F60" s="17"/>
      <c r="G60" s="17"/>
      <c r="H60" s="17"/>
      <c r="I60" s="17"/>
      <c r="J60" s="17"/>
      <c r="K60" s="17"/>
      <c r="L60" s="17"/>
      <c r="AC60" s="12">
        <v>1</v>
      </c>
    </row>
    <row r="61" spans="1:29" x14ac:dyDescent="0.2">
      <c r="A61" s="7">
        <f t="shared" ref="A61:A69" si="3">A49/$A$59</f>
        <v>14</v>
      </c>
      <c r="AC61" s="12">
        <v>1</v>
      </c>
    </row>
    <row r="62" spans="1:29" x14ac:dyDescent="0.2">
      <c r="A62" s="7">
        <f t="shared" si="3"/>
        <v>0.44444444444444442</v>
      </c>
      <c r="AC62" s="12">
        <v>1</v>
      </c>
    </row>
    <row r="63" spans="1:29" x14ac:dyDescent="0.2">
      <c r="A63" s="7">
        <f t="shared" si="3"/>
        <v>168.77777777777777</v>
      </c>
      <c r="AC63" s="12">
        <v>1</v>
      </c>
    </row>
    <row r="64" spans="1:29" x14ac:dyDescent="0.2">
      <c r="A64" s="7">
        <f t="shared" si="3"/>
        <v>63.888888888888886</v>
      </c>
      <c r="AC64" s="12">
        <v>1</v>
      </c>
    </row>
    <row r="65" spans="1:12" x14ac:dyDescent="0.2">
      <c r="A65" s="7">
        <f t="shared" si="3"/>
        <v>38.981481481481481</v>
      </c>
    </row>
    <row r="66" spans="1:12" x14ac:dyDescent="0.2">
      <c r="A66" s="7">
        <f t="shared" si="3"/>
        <v>73.462962962962962</v>
      </c>
    </row>
    <row r="67" spans="1:12" x14ac:dyDescent="0.2">
      <c r="A67" s="7">
        <f t="shared" si="3"/>
        <v>45.851851851851855</v>
      </c>
    </row>
    <row r="68" spans="1:12" x14ac:dyDescent="0.2">
      <c r="A68" s="7">
        <f t="shared" si="3"/>
        <v>57.24074074074074</v>
      </c>
    </row>
    <row r="69" spans="1:12" x14ac:dyDescent="0.2">
      <c r="A69" s="7">
        <f t="shared" si="3"/>
        <v>43.092592592592595</v>
      </c>
    </row>
    <row r="71" spans="1:12" x14ac:dyDescent="0.2">
      <c r="A71" s="4" t="s">
        <v>10</v>
      </c>
      <c r="B71" s="4" t="s">
        <v>2</v>
      </c>
      <c r="C71" s="4" t="s">
        <v>3</v>
      </c>
      <c r="D71" s="4" t="s">
        <v>4</v>
      </c>
      <c r="E71" s="4" t="s">
        <v>5</v>
      </c>
      <c r="F71" s="4" t="s">
        <v>6</v>
      </c>
      <c r="G71" s="4" t="s">
        <v>7</v>
      </c>
      <c r="H71" s="4" t="s">
        <v>8</v>
      </c>
      <c r="I71" s="4" t="s">
        <v>9</v>
      </c>
      <c r="J71" s="17"/>
      <c r="K71" s="17"/>
      <c r="L71" s="17"/>
    </row>
    <row r="72" spans="1:12" x14ac:dyDescent="0.2">
      <c r="A72" s="7">
        <f>A61</f>
        <v>14</v>
      </c>
      <c r="B72" s="7">
        <f>A62</f>
        <v>0.44444444444444442</v>
      </c>
      <c r="C72" s="7">
        <f>A63</f>
        <v>168.77777777777777</v>
      </c>
      <c r="D72" s="7">
        <f>A64</f>
        <v>63.888888888888886</v>
      </c>
      <c r="E72" s="7">
        <f>A65</f>
        <v>38.981481481481481</v>
      </c>
      <c r="F72" s="7">
        <f>A66</f>
        <v>73.462962962962962</v>
      </c>
      <c r="G72" s="7">
        <f>A67</f>
        <v>45.851851851851855</v>
      </c>
      <c r="H72" s="7">
        <f>A68</f>
        <v>57.24074074074074</v>
      </c>
      <c r="I72" s="7">
        <f>A69</f>
        <v>43.092592592592595</v>
      </c>
    </row>
    <row r="74" spans="1:12" x14ac:dyDescent="0.2">
      <c r="A74" s="4" t="s">
        <v>10</v>
      </c>
      <c r="B74" s="4" t="s">
        <v>2</v>
      </c>
      <c r="C74" s="4" t="s">
        <v>3</v>
      </c>
      <c r="D74" s="4" t="s">
        <v>4</v>
      </c>
      <c r="E74" s="4" t="s">
        <v>5</v>
      </c>
      <c r="F74" s="4" t="s">
        <v>6</v>
      </c>
      <c r="G74" s="4" t="s">
        <v>7</v>
      </c>
      <c r="H74" s="4" t="s">
        <v>8</v>
      </c>
      <c r="I74" s="4" t="s">
        <v>9</v>
      </c>
      <c r="J74" s="17"/>
      <c r="K74" s="17"/>
      <c r="L74" s="17"/>
    </row>
    <row r="75" spans="1:12" x14ac:dyDescent="0.2">
      <c r="A75" s="11">
        <f t="array" ref="A75:I101">MMULT(AC38:AC64,A72:I72)</f>
        <v>14</v>
      </c>
      <c r="B75" s="11">
        <v>0.44444444444444442</v>
      </c>
      <c r="C75" s="11">
        <v>168.77777777777777</v>
      </c>
      <c r="D75" s="11">
        <v>63.888888888888886</v>
      </c>
      <c r="E75" s="11">
        <v>38.981481481481481</v>
      </c>
      <c r="F75" s="11">
        <v>73.462962962962962</v>
      </c>
      <c r="G75" s="11">
        <v>45.851851851851855</v>
      </c>
      <c r="H75" s="11">
        <v>57.24074074074074</v>
      </c>
      <c r="I75" s="11">
        <v>43.092592592592595</v>
      </c>
    </row>
    <row r="76" spans="1:12" x14ac:dyDescent="0.2">
      <c r="A76" s="11">
        <v>14</v>
      </c>
      <c r="B76" s="11">
        <v>0.44444444444444442</v>
      </c>
      <c r="C76" s="11">
        <v>168.77777777777777</v>
      </c>
      <c r="D76" s="11">
        <v>63.888888888888886</v>
      </c>
      <c r="E76" s="11">
        <v>38.981481481481481</v>
      </c>
      <c r="F76" s="11">
        <v>73.462962962962962</v>
      </c>
      <c r="G76" s="11">
        <v>45.851851851851855</v>
      </c>
      <c r="H76" s="11">
        <v>57.24074074074074</v>
      </c>
      <c r="I76" s="11">
        <v>43.092592592592595</v>
      </c>
    </row>
    <row r="77" spans="1:12" x14ac:dyDescent="0.2">
      <c r="A77" s="11">
        <v>14</v>
      </c>
      <c r="B77" s="11">
        <v>0.44444444444444442</v>
      </c>
      <c r="C77" s="11">
        <v>168.77777777777777</v>
      </c>
      <c r="D77" s="11">
        <v>63.888888888888886</v>
      </c>
      <c r="E77" s="11">
        <v>38.981481481481481</v>
      </c>
      <c r="F77" s="11">
        <v>73.462962962962962</v>
      </c>
      <c r="G77" s="11">
        <v>45.851851851851855</v>
      </c>
      <c r="H77" s="11">
        <v>57.24074074074074</v>
      </c>
      <c r="I77" s="11">
        <v>43.092592592592595</v>
      </c>
    </row>
    <row r="78" spans="1:12" x14ac:dyDescent="0.2">
      <c r="A78" s="11">
        <v>14</v>
      </c>
      <c r="B78" s="11">
        <v>0.44444444444444442</v>
      </c>
      <c r="C78" s="11">
        <v>168.77777777777777</v>
      </c>
      <c r="D78" s="11">
        <v>63.888888888888886</v>
      </c>
      <c r="E78" s="11">
        <v>38.981481481481481</v>
      </c>
      <c r="F78" s="11">
        <v>73.462962962962962</v>
      </c>
      <c r="G78" s="11">
        <v>45.851851851851855</v>
      </c>
      <c r="H78" s="11">
        <v>57.24074074074074</v>
      </c>
      <c r="I78" s="11">
        <v>43.092592592592595</v>
      </c>
    </row>
    <row r="79" spans="1:12" x14ac:dyDescent="0.2">
      <c r="A79" s="11">
        <v>14</v>
      </c>
      <c r="B79" s="11">
        <v>0.44444444444444442</v>
      </c>
      <c r="C79" s="11">
        <v>168.77777777777777</v>
      </c>
      <c r="D79" s="11">
        <v>63.888888888888886</v>
      </c>
      <c r="E79" s="11">
        <v>38.981481481481481</v>
      </c>
      <c r="F79" s="11">
        <v>73.462962962962962</v>
      </c>
      <c r="G79" s="11">
        <v>45.851851851851855</v>
      </c>
      <c r="H79" s="11">
        <v>57.24074074074074</v>
      </c>
      <c r="I79" s="11">
        <v>43.092592592592595</v>
      </c>
    </row>
    <row r="80" spans="1:12" x14ac:dyDescent="0.2">
      <c r="A80" s="11">
        <v>14</v>
      </c>
      <c r="B80" s="11">
        <v>0.44444444444444442</v>
      </c>
      <c r="C80" s="11">
        <v>168.77777777777777</v>
      </c>
      <c r="D80" s="11">
        <v>63.888888888888886</v>
      </c>
      <c r="E80" s="11">
        <v>38.981481481481481</v>
      </c>
      <c r="F80" s="11">
        <v>73.462962962962962</v>
      </c>
      <c r="G80" s="11">
        <v>45.851851851851855</v>
      </c>
      <c r="H80" s="11">
        <v>57.24074074074074</v>
      </c>
      <c r="I80" s="11">
        <v>43.092592592592595</v>
      </c>
    </row>
    <row r="81" spans="1:9" x14ac:dyDescent="0.2">
      <c r="A81" s="11">
        <v>14</v>
      </c>
      <c r="B81" s="11">
        <v>0.44444444444444442</v>
      </c>
      <c r="C81" s="11">
        <v>168.77777777777777</v>
      </c>
      <c r="D81" s="11">
        <v>63.888888888888886</v>
      </c>
      <c r="E81" s="11">
        <v>38.981481481481481</v>
      </c>
      <c r="F81" s="11">
        <v>73.462962962962962</v>
      </c>
      <c r="G81" s="11">
        <v>45.851851851851855</v>
      </c>
      <c r="H81" s="11">
        <v>57.24074074074074</v>
      </c>
      <c r="I81" s="11">
        <v>43.092592592592595</v>
      </c>
    </row>
    <row r="82" spans="1:9" x14ac:dyDescent="0.2">
      <c r="A82" s="11">
        <v>14</v>
      </c>
      <c r="B82" s="11">
        <v>0.44444444444444442</v>
      </c>
      <c r="C82" s="11">
        <v>168.77777777777777</v>
      </c>
      <c r="D82" s="11">
        <v>63.888888888888886</v>
      </c>
      <c r="E82" s="11">
        <v>38.981481481481481</v>
      </c>
      <c r="F82" s="11">
        <v>73.462962962962962</v>
      </c>
      <c r="G82" s="11">
        <v>45.851851851851855</v>
      </c>
      <c r="H82" s="11">
        <v>57.24074074074074</v>
      </c>
      <c r="I82" s="11">
        <v>43.092592592592595</v>
      </c>
    </row>
    <row r="83" spans="1:9" x14ac:dyDescent="0.2">
      <c r="A83" s="11">
        <v>14</v>
      </c>
      <c r="B83" s="11">
        <v>0.44444444444444442</v>
      </c>
      <c r="C83" s="11">
        <v>168.77777777777777</v>
      </c>
      <c r="D83" s="11">
        <v>63.888888888888886</v>
      </c>
      <c r="E83" s="11">
        <v>38.981481481481481</v>
      </c>
      <c r="F83" s="11">
        <v>73.462962962962962</v>
      </c>
      <c r="G83" s="11">
        <v>45.851851851851855</v>
      </c>
      <c r="H83" s="11">
        <v>57.24074074074074</v>
      </c>
      <c r="I83" s="11">
        <v>43.092592592592595</v>
      </c>
    </row>
    <row r="84" spans="1:9" x14ac:dyDescent="0.2">
      <c r="A84" s="11">
        <v>14</v>
      </c>
      <c r="B84" s="11">
        <v>0.44444444444444442</v>
      </c>
      <c r="C84" s="11">
        <v>168.77777777777777</v>
      </c>
      <c r="D84" s="11">
        <v>63.888888888888886</v>
      </c>
      <c r="E84" s="11">
        <v>38.981481481481481</v>
      </c>
      <c r="F84" s="11">
        <v>73.462962962962962</v>
      </c>
      <c r="G84" s="11">
        <v>45.851851851851855</v>
      </c>
      <c r="H84" s="11">
        <v>57.24074074074074</v>
      </c>
      <c r="I84" s="11">
        <v>43.092592592592595</v>
      </c>
    </row>
    <row r="85" spans="1:9" x14ac:dyDescent="0.2">
      <c r="A85" s="11">
        <v>14</v>
      </c>
      <c r="B85" s="11">
        <v>0.44444444444444442</v>
      </c>
      <c r="C85" s="11">
        <v>168.77777777777777</v>
      </c>
      <c r="D85" s="11">
        <v>63.888888888888886</v>
      </c>
      <c r="E85" s="11">
        <v>38.981481481481481</v>
      </c>
      <c r="F85" s="11">
        <v>73.462962962962962</v>
      </c>
      <c r="G85" s="11">
        <v>45.851851851851855</v>
      </c>
      <c r="H85" s="11">
        <v>57.24074074074074</v>
      </c>
      <c r="I85" s="11">
        <v>43.092592592592595</v>
      </c>
    </row>
    <row r="86" spans="1:9" x14ac:dyDescent="0.2">
      <c r="A86" s="11">
        <v>14</v>
      </c>
      <c r="B86" s="11">
        <v>0.44444444444444442</v>
      </c>
      <c r="C86" s="11">
        <v>168.77777777777777</v>
      </c>
      <c r="D86" s="11">
        <v>63.888888888888886</v>
      </c>
      <c r="E86" s="11">
        <v>38.981481481481481</v>
      </c>
      <c r="F86" s="11">
        <v>73.462962962962962</v>
      </c>
      <c r="G86" s="11">
        <v>45.851851851851855</v>
      </c>
      <c r="H86" s="11">
        <v>57.24074074074074</v>
      </c>
      <c r="I86" s="11">
        <v>43.092592592592595</v>
      </c>
    </row>
    <row r="87" spans="1:9" x14ac:dyDescent="0.2">
      <c r="A87" s="11">
        <v>14</v>
      </c>
      <c r="B87" s="11">
        <v>0.44444444444444442</v>
      </c>
      <c r="C87" s="11">
        <v>168.77777777777777</v>
      </c>
      <c r="D87" s="11">
        <v>63.888888888888886</v>
      </c>
      <c r="E87" s="11">
        <v>38.981481481481481</v>
      </c>
      <c r="F87" s="11">
        <v>73.462962962962962</v>
      </c>
      <c r="G87" s="11">
        <v>45.851851851851855</v>
      </c>
      <c r="H87" s="11">
        <v>57.24074074074074</v>
      </c>
      <c r="I87" s="11">
        <v>43.092592592592595</v>
      </c>
    </row>
    <row r="88" spans="1:9" x14ac:dyDescent="0.2">
      <c r="A88" s="11">
        <v>14</v>
      </c>
      <c r="B88" s="11">
        <v>0.44444444444444442</v>
      </c>
      <c r="C88" s="11">
        <v>168.77777777777777</v>
      </c>
      <c r="D88" s="11">
        <v>63.888888888888886</v>
      </c>
      <c r="E88" s="11">
        <v>38.981481481481481</v>
      </c>
      <c r="F88" s="11">
        <v>73.462962962962962</v>
      </c>
      <c r="G88" s="11">
        <v>45.851851851851855</v>
      </c>
      <c r="H88" s="11">
        <v>57.24074074074074</v>
      </c>
      <c r="I88" s="11">
        <v>43.092592592592595</v>
      </c>
    </row>
    <row r="89" spans="1:9" x14ac:dyDescent="0.2">
      <c r="A89" s="11">
        <v>14</v>
      </c>
      <c r="B89" s="11">
        <v>0.44444444444444442</v>
      </c>
      <c r="C89" s="11">
        <v>168.77777777777777</v>
      </c>
      <c r="D89" s="11">
        <v>63.888888888888886</v>
      </c>
      <c r="E89" s="11">
        <v>38.981481481481481</v>
      </c>
      <c r="F89" s="11">
        <v>73.462962962962962</v>
      </c>
      <c r="G89" s="11">
        <v>45.851851851851855</v>
      </c>
      <c r="H89" s="11">
        <v>57.24074074074074</v>
      </c>
      <c r="I89" s="11">
        <v>43.092592592592595</v>
      </c>
    </row>
    <row r="90" spans="1:9" x14ac:dyDescent="0.2">
      <c r="A90" s="11">
        <v>14</v>
      </c>
      <c r="B90" s="11">
        <v>0.44444444444444442</v>
      </c>
      <c r="C90" s="11">
        <v>168.77777777777777</v>
      </c>
      <c r="D90" s="11">
        <v>63.888888888888886</v>
      </c>
      <c r="E90" s="11">
        <v>38.981481481481481</v>
      </c>
      <c r="F90" s="11">
        <v>73.462962962962962</v>
      </c>
      <c r="G90" s="11">
        <v>45.851851851851855</v>
      </c>
      <c r="H90" s="11">
        <v>57.24074074074074</v>
      </c>
      <c r="I90" s="11">
        <v>43.092592592592595</v>
      </c>
    </row>
    <row r="91" spans="1:9" x14ac:dyDescent="0.2">
      <c r="A91" s="11">
        <v>14</v>
      </c>
      <c r="B91" s="11">
        <v>0.44444444444444442</v>
      </c>
      <c r="C91" s="11">
        <v>168.77777777777777</v>
      </c>
      <c r="D91" s="11">
        <v>63.888888888888886</v>
      </c>
      <c r="E91" s="11">
        <v>38.981481481481481</v>
      </c>
      <c r="F91" s="11">
        <v>73.462962962962962</v>
      </c>
      <c r="G91" s="11">
        <v>45.851851851851855</v>
      </c>
      <c r="H91" s="11">
        <v>57.24074074074074</v>
      </c>
      <c r="I91" s="11">
        <v>43.092592592592595</v>
      </c>
    </row>
    <row r="92" spans="1:9" x14ac:dyDescent="0.2">
      <c r="A92" s="11">
        <v>14</v>
      </c>
      <c r="B92" s="11">
        <v>0.44444444444444442</v>
      </c>
      <c r="C92" s="11">
        <v>168.77777777777777</v>
      </c>
      <c r="D92" s="11">
        <v>63.888888888888886</v>
      </c>
      <c r="E92" s="11">
        <v>38.981481481481481</v>
      </c>
      <c r="F92" s="11">
        <v>73.462962962962962</v>
      </c>
      <c r="G92" s="11">
        <v>45.851851851851855</v>
      </c>
      <c r="H92" s="11">
        <v>57.24074074074074</v>
      </c>
      <c r="I92" s="11">
        <v>43.092592592592595</v>
      </c>
    </row>
    <row r="93" spans="1:9" x14ac:dyDescent="0.2">
      <c r="A93" s="11">
        <v>14</v>
      </c>
      <c r="B93" s="11">
        <v>0.44444444444444442</v>
      </c>
      <c r="C93" s="11">
        <v>168.77777777777777</v>
      </c>
      <c r="D93" s="11">
        <v>63.888888888888886</v>
      </c>
      <c r="E93" s="11">
        <v>38.981481481481481</v>
      </c>
      <c r="F93" s="11">
        <v>73.462962962962962</v>
      </c>
      <c r="G93" s="11">
        <v>45.851851851851855</v>
      </c>
      <c r="H93" s="11">
        <v>57.24074074074074</v>
      </c>
      <c r="I93" s="11">
        <v>43.092592592592595</v>
      </c>
    </row>
    <row r="94" spans="1:9" x14ac:dyDescent="0.2">
      <c r="A94" s="11">
        <v>14</v>
      </c>
      <c r="B94" s="11">
        <v>0.44444444444444442</v>
      </c>
      <c r="C94" s="11">
        <v>168.77777777777777</v>
      </c>
      <c r="D94" s="11">
        <v>63.888888888888886</v>
      </c>
      <c r="E94" s="11">
        <v>38.981481481481481</v>
      </c>
      <c r="F94" s="11">
        <v>73.462962962962962</v>
      </c>
      <c r="G94" s="11">
        <v>45.851851851851855</v>
      </c>
      <c r="H94" s="11">
        <v>57.24074074074074</v>
      </c>
      <c r="I94" s="11">
        <v>43.092592592592595</v>
      </c>
    </row>
    <row r="95" spans="1:9" x14ac:dyDescent="0.2">
      <c r="A95" s="11">
        <v>14</v>
      </c>
      <c r="B95" s="11">
        <v>0.44444444444444442</v>
      </c>
      <c r="C95" s="11">
        <v>168.77777777777777</v>
      </c>
      <c r="D95" s="11">
        <v>63.888888888888886</v>
      </c>
      <c r="E95" s="11">
        <v>38.981481481481481</v>
      </c>
      <c r="F95" s="11">
        <v>73.462962962962962</v>
      </c>
      <c r="G95" s="11">
        <v>45.851851851851855</v>
      </c>
      <c r="H95" s="11">
        <v>57.24074074074074</v>
      </c>
      <c r="I95" s="11">
        <v>43.092592592592595</v>
      </c>
    </row>
    <row r="96" spans="1:9" x14ac:dyDescent="0.2">
      <c r="A96" s="11">
        <v>14</v>
      </c>
      <c r="B96" s="11">
        <v>0.44444444444444442</v>
      </c>
      <c r="C96" s="11">
        <v>168.77777777777777</v>
      </c>
      <c r="D96" s="11">
        <v>63.888888888888886</v>
      </c>
      <c r="E96" s="11">
        <v>38.981481481481481</v>
      </c>
      <c r="F96" s="11">
        <v>73.462962962962962</v>
      </c>
      <c r="G96" s="11">
        <v>45.851851851851855</v>
      </c>
      <c r="H96" s="11">
        <v>57.24074074074074</v>
      </c>
      <c r="I96" s="11">
        <v>43.092592592592595</v>
      </c>
    </row>
    <row r="97" spans="1:12" x14ac:dyDescent="0.2">
      <c r="A97" s="11">
        <v>14</v>
      </c>
      <c r="B97" s="11">
        <v>0.44444444444444442</v>
      </c>
      <c r="C97" s="11">
        <v>168.77777777777777</v>
      </c>
      <c r="D97" s="11">
        <v>63.888888888888886</v>
      </c>
      <c r="E97" s="11">
        <v>38.981481481481481</v>
      </c>
      <c r="F97" s="11">
        <v>73.462962962962962</v>
      </c>
      <c r="G97" s="11">
        <v>45.851851851851855</v>
      </c>
      <c r="H97" s="11">
        <v>57.24074074074074</v>
      </c>
      <c r="I97" s="11">
        <v>43.092592592592595</v>
      </c>
    </row>
    <row r="98" spans="1:12" x14ac:dyDescent="0.2">
      <c r="A98" s="11">
        <v>14</v>
      </c>
      <c r="B98" s="11">
        <v>0.44444444444444442</v>
      </c>
      <c r="C98" s="11">
        <v>168.77777777777777</v>
      </c>
      <c r="D98" s="11">
        <v>63.888888888888886</v>
      </c>
      <c r="E98" s="11">
        <v>38.981481481481481</v>
      </c>
      <c r="F98" s="11">
        <v>73.462962962962962</v>
      </c>
      <c r="G98" s="11">
        <v>45.851851851851855</v>
      </c>
      <c r="H98" s="11">
        <v>57.24074074074074</v>
      </c>
      <c r="I98" s="11">
        <v>43.092592592592595</v>
      </c>
    </row>
    <row r="99" spans="1:12" x14ac:dyDescent="0.2">
      <c r="A99" s="11">
        <v>14</v>
      </c>
      <c r="B99" s="11">
        <v>0.44444444444444442</v>
      </c>
      <c r="C99" s="11">
        <v>168.77777777777777</v>
      </c>
      <c r="D99" s="11">
        <v>63.888888888888886</v>
      </c>
      <c r="E99" s="11">
        <v>38.981481481481481</v>
      </c>
      <c r="F99" s="11">
        <v>73.462962962962962</v>
      </c>
      <c r="G99" s="11">
        <v>45.851851851851855</v>
      </c>
      <c r="H99" s="11">
        <v>57.24074074074074</v>
      </c>
      <c r="I99" s="11">
        <v>43.092592592592595</v>
      </c>
    </row>
    <row r="100" spans="1:12" x14ac:dyDescent="0.2">
      <c r="A100" s="11">
        <v>14</v>
      </c>
      <c r="B100" s="11">
        <v>0.44444444444444442</v>
      </c>
      <c r="C100" s="11">
        <v>168.77777777777777</v>
      </c>
      <c r="D100" s="11">
        <v>63.888888888888886</v>
      </c>
      <c r="E100" s="11">
        <v>38.981481481481481</v>
      </c>
      <c r="F100" s="11">
        <v>73.462962962962962</v>
      </c>
      <c r="G100" s="11">
        <v>45.851851851851855</v>
      </c>
      <c r="H100" s="11">
        <v>57.24074074074074</v>
      </c>
      <c r="I100" s="11">
        <v>43.092592592592595</v>
      </c>
    </row>
    <row r="101" spans="1:12" x14ac:dyDescent="0.2">
      <c r="A101" s="11">
        <v>14</v>
      </c>
      <c r="B101" s="11">
        <v>0.44444444444444442</v>
      </c>
      <c r="C101" s="11">
        <v>168.77777777777777</v>
      </c>
      <c r="D101" s="11">
        <v>63.888888888888886</v>
      </c>
      <c r="E101" s="11">
        <v>38.981481481481481</v>
      </c>
      <c r="F101" s="11">
        <v>73.462962962962962</v>
      </c>
      <c r="G101" s="11">
        <v>45.851851851851855</v>
      </c>
      <c r="H101" s="11">
        <v>57.24074074074074</v>
      </c>
      <c r="I101" s="11">
        <v>43.092592592592595</v>
      </c>
    </row>
    <row r="103" spans="1:12" x14ac:dyDescent="0.2">
      <c r="A103" s="4" t="s">
        <v>10</v>
      </c>
      <c r="B103" s="4" t="s">
        <v>2</v>
      </c>
      <c r="C103" s="4" t="s">
        <v>3</v>
      </c>
      <c r="D103" s="4" t="s">
        <v>4</v>
      </c>
      <c r="E103" s="4" t="s">
        <v>5</v>
      </c>
      <c r="F103" s="4" t="s">
        <v>6</v>
      </c>
      <c r="G103" s="4" t="s">
        <v>7</v>
      </c>
      <c r="H103" s="4" t="s">
        <v>8</v>
      </c>
      <c r="I103" s="4" t="s">
        <v>9</v>
      </c>
      <c r="J103" s="17"/>
      <c r="K103" s="17"/>
      <c r="L103" s="17"/>
    </row>
    <row r="104" spans="1:12" x14ac:dyDescent="0.2">
      <c r="A104" s="11">
        <f t="array" ref="A104:I130">A3:I29-A75:I101</f>
        <v>-13</v>
      </c>
      <c r="B104" s="11">
        <v>-0.44444444444444442</v>
      </c>
      <c r="C104" s="11">
        <v>-9.7777777777777715</v>
      </c>
      <c r="D104" s="11">
        <v>-14.888888888888886</v>
      </c>
      <c r="E104" s="11">
        <v>-2.981481481481481</v>
      </c>
      <c r="F104" s="11">
        <v>-5.4629629629629619</v>
      </c>
      <c r="G104" s="11">
        <v>-3.8518518518518547</v>
      </c>
      <c r="H104" s="11">
        <v>-0.24074074074074048</v>
      </c>
      <c r="I104" s="11">
        <v>-3.0925925925925952</v>
      </c>
    </row>
    <row r="105" spans="1:12" x14ac:dyDescent="0.2">
      <c r="A105" s="11">
        <v>-12</v>
      </c>
      <c r="B105" s="11">
        <v>0.55555555555555558</v>
      </c>
      <c r="C105" s="11">
        <v>-4.7777777777777715</v>
      </c>
      <c r="D105" s="11">
        <v>-1.8888888888888857</v>
      </c>
      <c r="E105" s="11">
        <v>1.8518518518519045E-2</v>
      </c>
      <c r="F105" s="11">
        <v>-0.46296296296296191</v>
      </c>
      <c r="G105" s="11">
        <v>-1.8518518518518547</v>
      </c>
      <c r="H105" s="11">
        <v>-2.2407407407407405</v>
      </c>
      <c r="I105" s="11">
        <v>0.90740740740740478</v>
      </c>
    </row>
    <row r="106" spans="1:12" x14ac:dyDescent="0.2">
      <c r="A106" s="11">
        <v>-11</v>
      </c>
      <c r="B106" s="11">
        <v>-0.44444444444444442</v>
      </c>
      <c r="C106" s="11">
        <v>3.2222222222222285</v>
      </c>
      <c r="D106" s="11">
        <v>1.1111111111111143</v>
      </c>
      <c r="E106" s="11">
        <v>-0.98148148148148096</v>
      </c>
      <c r="F106" s="11">
        <v>1.5370370370370381</v>
      </c>
      <c r="G106" s="11">
        <v>2.1481481481481453</v>
      </c>
      <c r="H106" s="11">
        <v>0.75925925925925952</v>
      </c>
      <c r="I106" s="11">
        <v>0.90740740740740478</v>
      </c>
    </row>
    <row r="107" spans="1:12" x14ac:dyDescent="0.2">
      <c r="A107" s="11">
        <v>-10</v>
      </c>
      <c r="B107" s="11">
        <v>-0.44444444444444442</v>
      </c>
      <c r="C107" s="11">
        <v>-1.7777777777777715</v>
      </c>
      <c r="D107" s="11">
        <v>-11.888888888888886</v>
      </c>
      <c r="E107" s="11">
        <v>-1.981481481481481</v>
      </c>
      <c r="F107" s="11">
        <v>-0.46296296296296191</v>
      </c>
      <c r="G107" s="11">
        <v>-4.3518518518518547</v>
      </c>
      <c r="H107" s="11">
        <v>0.75925925925925952</v>
      </c>
      <c r="I107" s="11">
        <v>0.90740740740740478</v>
      </c>
    </row>
    <row r="108" spans="1:12" x14ac:dyDescent="0.2">
      <c r="A108" s="11">
        <v>-9</v>
      </c>
      <c r="B108" s="11">
        <v>-0.44444444444444442</v>
      </c>
      <c r="C108" s="11">
        <v>-4.7777777777777715</v>
      </c>
      <c r="D108" s="11">
        <v>-12.888888888888886</v>
      </c>
      <c r="E108" s="11">
        <v>-2.981481481481481</v>
      </c>
      <c r="F108" s="11">
        <v>-2.4629629629629619</v>
      </c>
      <c r="G108" s="11">
        <v>-1.3518518518518547</v>
      </c>
      <c r="H108" s="11">
        <v>-3.2407407407407405</v>
      </c>
      <c r="I108" s="11">
        <v>-3.0925925925925952</v>
      </c>
    </row>
    <row r="109" spans="1:12" x14ac:dyDescent="0.2">
      <c r="A109" s="11">
        <v>-8</v>
      </c>
      <c r="B109" s="11">
        <v>-0.44444444444444442</v>
      </c>
      <c r="C109" s="11">
        <v>-7.7777777777777715</v>
      </c>
      <c r="D109" s="11">
        <v>3.1111111111111143</v>
      </c>
      <c r="E109" s="11">
        <v>-0.98148148148148096</v>
      </c>
      <c r="F109" s="11">
        <v>-2.4629629629629619</v>
      </c>
      <c r="G109" s="11">
        <v>-1.8518518518518547</v>
      </c>
      <c r="H109" s="11">
        <v>-1.2407407407407405</v>
      </c>
      <c r="I109" s="11">
        <v>-1.0925925925925952</v>
      </c>
    </row>
    <row r="110" spans="1:12" x14ac:dyDescent="0.2">
      <c r="A110" s="11">
        <v>-7</v>
      </c>
      <c r="B110" s="11">
        <v>-0.44444444444444442</v>
      </c>
      <c r="C110" s="11">
        <v>-0.77777777777777146</v>
      </c>
      <c r="D110" s="11">
        <v>-15.888888888888886</v>
      </c>
      <c r="E110" s="11">
        <v>1.8518518518519045E-2</v>
      </c>
      <c r="F110" s="11">
        <v>-0.96296296296296191</v>
      </c>
      <c r="G110" s="11">
        <v>-4.8518518518518547</v>
      </c>
      <c r="H110" s="11">
        <v>-2.7407407407407405</v>
      </c>
      <c r="I110" s="11">
        <v>-9.2592592592595224E-2</v>
      </c>
    </row>
    <row r="111" spans="1:12" x14ac:dyDescent="0.2">
      <c r="A111" s="11">
        <v>-6</v>
      </c>
      <c r="B111" s="11">
        <v>0.55555555555555558</v>
      </c>
      <c r="C111" s="11">
        <v>12.222222222222229</v>
      </c>
      <c r="D111" s="11">
        <v>10.111111111111114</v>
      </c>
      <c r="E111" s="11">
        <v>4.018518518518519</v>
      </c>
      <c r="F111" s="11">
        <v>0.53703703703703809</v>
      </c>
      <c r="G111" s="11">
        <v>4.1481481481481453</v>
      </c>
      <c r="H111" s="11">
        <v>2.7592592592592595</v>
      </c>
      <c r="I111" s="11">
        <v>3.9074074074074048</v>
      </c>
    </row>
    <row r="112" spans="1:12" x14ac:dyDescent="0.2">
      <c r="A112" s="11">
        <v>-5</v>
      </c>
      <c r="B112" s="11">
        <v>0.55555555555555558</v>
      </c>
      <c r="C112" s="11">
        <v>14.222222222222229</v>
      </c>
      <c r="D112" s="11">
        <v>10.111111111111114</v>
      </c>
      <c r="E112" s="11">
        <v>2.018518518518519</v>
      </c>
      <c r="F112" s="11">
        <v>5.5370370370370381</v>
      </c>
      <c r="G112" s="11">
        <v>1.6481481481481453</v>
      </c>
      <c r="H112" s="11">
        <v>2.2592592592592595</v>
      </c>
      <c r="I112" s="11">
        <v>3.9074074074074048</v>
      </c>
    </row>
    <row r="113" spans="1:9" x14ac:dyDescent="0.2">
      <c r="A113" s="11">
        <v>-4</v>
      </c>
      <c r="B113" s="11">
        <v>-0.44444444444444442</v>
      </c>
      <c r="C113" s="11">
        <v>-10.777777777777771</v>
      </c>
      <c r="D113" s="11">
        <v>-13.888888888888886</v>
      </c>
      <c r="E113" s="11">
        <v>-2.981481481481481</v>
      </c>
      <c r="F113" s="11">
        <v>-4.9629629629629619</v>
      </c>
      <c r="G113" s="11">
        <v>-1.8518518518518547</v>
      </c>
      <c r="H113" s="11">
        <v>-0.24074074074074048</v>
      </c>
      <c r="I113" s="11">
        <v>-2.0925925925925952</v>
      </c>
    </row>
    <row r="114" spans="1:9" x14ac:dyDescent="0.2">
      <c r="A114" s="11">
        <v>-3</v>
      </c>
      <c r="B114" s="11">
        <v>-0.44444444444444442</v>
      </c>
      <c r="C114" s="11">
        <v>-12.777777777777771</v>
      </c>
      <c r="D114" s="11">
        <v>1.1111111111111143</v>
      </c>
      <c r="E114" s="11">
        <v>-2.981481481481481</v>
      </c>
      <c r="F114" s="11">
        <v>-5.4629629629629619</v>
      </c>
      <c r="G114" s="11">
        <v>0.14814814814814525</v>
      </c>
      <c r="H114" s="11">
        <v>0.75925925925925952</v>
      </c>
      <c r="I114" s="11">
        <v>-2.0925925925925952</v>
      </c>
    </row>
    <row r="115" spans="1:9" x14ac:dyDescent="0.2">
      <c r="A115" s="11">
        <v>-2</v>
      </c>
      <c r="B115" s="11">
        <v>0.55555555555555558</v>
      </c>
      <c r="C115" s="11">
        <v>4.2222222222222285</v>
      </c>
      <c r="D115" s="11">
        <v>0.11111111111111427</v>
      </c>
      <c r="E115" s="11">
        <v>1.018518518518519</v>
      </c>
      <c r="F115" s="11">
        <v>5.5370370370370381</v>
      </c>
      <c r="G115" s="11">
        <v>2.1481481481481453</v>
      </c>
      <c r="H115" s="11">
        <v>-0.74074074074074048</v>
      </c>
      <c r="I115" s="11">
        <v>3.9074074074074048</v>
      </c>
    </row>
    <row r="116" spans="1:9" x14ac:dyDescent="0.2">
      <c r="A116" s="11">
        <v>-1</v>
      </c>
      <c r="B116" s="11">
        <v>-0.44444444444444442</v>
      </c>
      <c r="C116" s="11">
        <v>-10.777777777777771</v>
      </c>
      <c r="D116" s="11">
        <v>-20.888888888888886</v>
      </c>
      <c r="E116" s="11">
        <v>-2.981481481481481</v>
      </c>
      <c r="F116" s="11">
        <v>-5.4629629629629619</v>
      </c>
      <c r="G116" s="11">
        <v>-2.8518518518518547</v>
      </c>
      <c r="H116" s="11">
        <v>-2.2407407407407405</v>
      </c>
      <c r="I116" s="11">
        <v>-4.0925925925925952</v>
      </c>
    </row>
    <row r="117" spans="1:9" x14ac:dyDescent="0.2">
      <c r="A117" s="11">
        <v>0</v>
      </c>
      <c r="B117" s="11">
        <v>0.55555555555555558</v>
      </c>
      <c r="C117" s="11">
        <v>9.2222222222222285</v>
      </c>
      <c r="D117" s="11">
        <v>10.111111111111114</v>
      </c>
      <c r="E117" s="11">
        <v>3.018518518518519</v>
      </c>
      <c r="F117" s="11">
        <v>1.5370370370370381</v>
      </c>
      <c r="G117" s="11">
        <v>4.1481481481481453</v>
      </c>
      <c r="H117" s="11">
        <v>1.7592592592592595</v>
      </c>
      <c r="I117" s="11">
        <v>1.9074074074074048</v>
      </c>
    </row>
    <row r="118" spans="1:9" x14ac:dyDescent="0.2">
      <c r="A118" s="11">
        <v>1</v>
      </c>
      <c r="B118" s="11">
        <v>0.55555555555555558</v>
      </c>
      <c r="C118" s="11">
        <v>12.222222222222229</v>
      </c>
      <c r="D118" s="11">
        <v>12.111111111111114</v>
      </c>
      <c r="E118" s="11">
        <v>4.018518518518519</v>
      </c>
      <c r="F118" s="11">
        <v>9.5370370370370381</v>
      </c>
      <c r="G118" s="11">
        <v>5.1481481481481453</v>
      </c>
      <c r="H118" s="11">
        <v>-0.24074074074074048</v>
      </c>
      <c r="I118" s="11">
        <v>-9.2592592592595224E-2</v>
      </c>
    </row>
    <row r="119" spans="1:9" x14ac:dyDescent="0.2">
      <c r="A119" s="11">
        <v>2</v>
      </c>
      <c r="B119" s="11">
        <v>0.55555555555555558</v>
      </c>
      <c r="C119" s="11">
        <v>13.222222222222229</v>
      </c>
      <c r="D119" s="11">
        <v>27.111111111111114</v>
      </c>
      <c r="E119" s="11">
        <v>2.018518518518519</v>
      </c>
      <c r="F119" s="11">
        <v>9.5370370370370381</v>
      </c>
      <c r="G119" s="11">
        <v>7.1481481481481453</v>
      </c>
      <c r="H119" s="11">
        <v>1.7592592592592595</v>
      </c>
      <c r="I119" s="11">
        <v>-9.2592592592595224E-2</v>
      </c>
    </row>
    <row r="120" spans="1:9" x14ac:dyDescent="0.2">
      <c r="A120" s="11">
        <v>3</v>
      </c>
      <c r="B120" s="11">
        <v>0.55555555555555558</v>
      </c>
      <c r="C120" s="11">
        <v>7.2222222222222285</v>
      </c>
      <c r="D120" s="11">
        <v>9.1111111111111143</v>
      </c>
      <c r="E120" s="11">
        <v>3.018518518518519</v>
      </c>
      <c r="F120" s="11">
        <v>4.5370370370370381</v>
      </c>
      <c r="G120" s="11">
        <v>2.1481481481481453</v>
      </c>
      <c r="H120" s="11">
        <v>0.75925925925925952</v>
      </c>
      <c r="I120" s="11">
        <v>1.9074074074074048</v>
      </c>
    </row>
    <row r="121" spans="1:9" x14ac:dyDescent="0.2">
      <c r="A121" s="11">
        <v>4</v>
      </c>
      <c r="B121" s="11">
        <v>-0.44444444444444442</v>
      </c>
      <c r="C121" s="11">
        <v>-6.7777777777777715</v>
      </c>
      <c r="D121" s="11">
        <v>4.1111111111111143</v>
      </c>
      <c r="E121" s="11">
        <v>1.8518518518519045E-2</v>
      </c>
      <c r="F121" s="11">
        <v>-1.4629629629629619</v>
      </c>
      <c r="G121" s="11">
        <v>-1.8518518518518547</v>
      </c>
      <c r="H121" s="11">
        <v>1.7592592592592595</v>
      </c>
      <c r="I121" s="11">
        <v>-1.0925925925925952</v>
      </c>
    </row>
    <row r="122" spans="1:9" x14ac:dyDescent="0.2">
      <c r="A122" s="11">
        <v>5</v>
      </c>
      <c r="B122" s="11">
        <v>-0.44444444444444442</v>
      </c>
      <c r="C122" s="11">
        <v>-12.777777777777771</v>
      </c>
      <c r="D122" s="11">
        <v>-11.888888888888886</v>
      </c>
      <c r="E122" s="11">
        <v>-2.981481481481481</v>
      </c>
      <c r="F122" s="11">
        <v>-6.4629629629629619</v>
      </c>
      <c r="G122" s="11">
        <v>-9.8518518518518547</v>
      </c>
      <c r="H122" s="11">
        <v>-1.2407407407407405</v>
      </c>
      <c r="I122" s="11">
        <v>-2.0925925925925952</v>
      </c>
    </row>
    <row r="123" spans="1:9" x14ac:dyDescent="0.2">
      <c r="A123" s="11">
        <v>6</v>
      </c>
      <c r="B123" s="11">
        <v>-0.44444444444444442</v>
      </c>
      <c r="C123" s="11">
        <v>-16.777777777777771</v>
      </c>
      <c r="D123" s="11">
        <v>-18.888888888888886</v>
      </c>
      <c r="E123" s="11">
        <v>-4.981481481481481</v>
      </c>
      <c r="F123" s="11">
        <v>-7.4629629629629619</v>
      </c>
      <c r="G123" s="11">
        <v>-5.8518518518518547</v>
      </c>
      <c r="H123" s="11">
        <v>-2.2407407407407405</v>
      </c>
      <c r="I123" s="11">
        <v>-5.0925925925925952</v>
      </c>
    </row>
    <row r="124" spans="1:9" x14ac:dyDescent="0.2">
      <c r="A124" s="11">
        <v>7</v>
      </c>
      <c r="B124" s="11">
        <v>0.55555555555555558</v>
      </c>
      <c r="C124" s="11">
        <v>12.222222222222229</v>
      </c>
      <c r="D124" s="11">
        <v>16.111111111111114</v>
      </c>
      <c r="E124" s="11">
        <v>4.018518518518519</v>
      </c>
      <c r="F124" s="11">
        <v>2.5370370370370381</v>
      </c>
      <c r="G124" s="11">
        <v>3.1481481481481453</v>
      </c>
      <c r="H124" s="11">
        <v>-0.24074074074074048</v>
      </c>
      <c r="I124" s="11">
        <v>2.9074074074074048</v>
      </c>
    </row>
    <row r="125" spans="1:9" x14ac:dyDescent="0.2">
      <c r="A125" s="11">
        <v>8</v>
      </c>
      <c r="B125" s="11">
        <v>0.55555555555555558</v>
      </c>
      <c r="C125" s="11">
        <v>4.2222222222222285</v>
      </c>
      <c r="D125" s="11">
        <v>5.1111111111111143</v>
      </c>
      <c r="E125" s="11">
        <v>2.018518518518519</v>
      </c>
      <c r="F125" s="11">
        <v>0.53703703703703809</v>
      </c>
      <c r="G125" s="11">
        <v>2.1481481481481453</v>
      </c>
      <c r="H125" s="11">
        <v>-1.2407407407407405</v>
      </c>
      <c r="I125" s="11">
        <v>0.90740740740740478</v>
      </c>
    </row>
    <row r="126" spans="1:9" x14ac:dyDescent="0.2">
      <c r="A126" s="11">
        <v>9</v>
      </c>
      <c r="B126" s="11">
        <v>-0.44444444444444442</v>
      </c>
      <c r="C126" s="11">
        <v>-13.777777777777771</v>
      </c>
      <c r="D126" s="11">
        <v>-10.888888888888886</v>
      </c>
      <c r="E126" s="11">
        <v>-2.981481481481481</v>
      </c>
      <c r="F126" s="11">
        <v>-6.4629629629629619</v>
      </c>
      <c r="G126" s="11">
        <v>-2.8518518518518547</v>
      </c>
      <c r="H126" s="11">
        <v>-1.2407407407407405</v>
      </c>
      <c r="I126" s="11">
        <v>-5.0925925925925952</v>
      </c>
    </row>
    <row r="127" spans="1:9" x14ac:dyDescent="0.2">
      <c r="A127" s="11">
        <v>10</v>
      </c>
      <c r="B127" s="11">
        <v>0.55555555555555558</v>
      </c>
      <c r="C127" s="11">
        <v>20.222222222222229</v>
      </c>
      <c r="D127" s="11">
        <v>23.111111111111114</v>
      </c>
      <c r="E127" s="11">
        <v>6.018518518518519</v>
      </c>
      <c r="F127" s="11">
        <v>8.5370370370370381</v>
      </c>
      <c r="G127" s="11">
        <v>7.1481481481481453</v>
      </c>
      <c r="H127" s="11">
        <v>3.7592592592592595</v>
      </c>
      <c r="I127" s="11">
        <v>8.9074074074074048</v>
      </c>
    </row>
    <row r="128" spans="1:9" x14ac:dyDescent="0.2">
      <c r="A128" s="11">
        <v>11</v>
      </c>
      <c r="B128" s="11">
        <v>-0.44444444444444442</v>
      </c>
      <c r="C128" s="11">
        <v>1.2222222222222285</v>
      </c>
      <c r="D128" s="11">
        <v>6.1111111111111143</v>
      </c>
      <c r="E128" s="11">
        <v>-0.98148148148148096</v>
      </c>
      <c r="F128" s="11">
        <v>-0.46296296296296191</v>
      </c>
      <c r="G128" s="11">
        <v>-0.85185185185185475</v>
      </c>
      <c r="H128" s="11">
        <v>-1.2407407407407405</v>
      </c>
      <c r="I128" s="11">
        <v>-9.2592592592595224E-2</v>
      </c>
    </row>
    <row r="129" spans="1:27" x14ac:dyDescent="0.2">
      <c r="A129" s="11">
        <v>12</v>
      </c>
      <c r="B129" s="11">
        <v>0.55555555555555558</v>
      </c>
      <c r="C129" s="11">
        <v>1.2222222222222285</v>
      </c>
      <c r="D129" s="11">
        <v>3.1111111111111143</v>
      </c>
      <c r="E129" s="11">
        <v>1.018518518518519</v>
      </c>
      <c r="F129" s="11">
        <v>3.5370370370370381</v>
      </c>
      <c r="G129" s="11">
        <v>0.64814814814814525</v>
      </c>
      <c r="H129" s="11">
        <v>0.75925925925925952</v>
      </c>
      <c r="I129" s="11">
        <v>1.4074074074074048</v>
      </c>
    </row>
    <row r="130" spans="1:27" x14ac:dyDescent="0.2">
      <c r="A130" s="11">
        <v>13</v>
      </c>
      <c r="B130" s="11">
        <v>-0.44444444444444442</v>
      </c>
      <c r="C130" s="11">
        <v>-0.77777777777777146</v>
      </c>
      <c r="D130" s="11">
        <v>-7.8888888888888857</v>
      </c>
      <c r="E130" s="11">
        <v>-1.481481481481481</v>
      </c>
      <c r="F130" s="11">
        <v>-2.9629629629629619</v>
      </c>
      <c r="G130" s="11">
        <v>2.1481481481481453</v>
      </c>
      <c r="H130" s="11">
        <v>2.7592592592592595</v>
      </c>
      <c r="I130" s="11">
        <v>-3.0925925925925952</v>
      </c>
    </row>
    <row r="132" spans="1:27" x14ac:dyDescent="0.2">
      <c r="A132" s="9" t="s">
        <v>20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spans="1:27" x14ac:dyDescent="0.2">
      <c r="A133" s="11">
        <f>A104</f>
        <v>-13</v>
      </c>
      <c r="B133" s="11">
        <f>A105</f>
        <v>-12</v>
      </c>
      <c r="C133" s="11">
        <f>A106</f>
        <v>-11</v>
      </c>
      <c r="D133" s="11">
        <f>A107</f>
        <v>-10</v>
      </c>
      <c r="E133" s="11">
        <f>A108</f>
        <v>-9</v>
      </c>
      <c r="F133" s="11">
        <f>A109</f>
        <v>-8</v>
      </c>
      <c r="G133" s="11">
        <f>A110</f>
        <v>-7</v>
      </c>
      <c r="H133" s="11">
        <f>A111</f>
        <v>-6</v>
      </c>
      <c r="I133" s="11">
        <f>A112</f>
        <v>-5</v>
      </c>
      <c r="J133" s="11">
        <f>A113</f>
        <v>-4</v>
      </c>
      <c r="K133" s="11">
        <f>A114</f>
        <v>-3</v>
      </c>
      <c r="L133" s="11">
        <f>A115</f>
        <v>-2</v>
      </c>
      <c r="M133" s="11">
        <f>A116</f>
        <v>-1</v>
      </c>
      <c r="N133" s="11">
        <f>A117</f>
        <v>0</v>
      </c>
      <c r="O133" s="11">
        <f>A118</f>
        <v>1</v>
      </c>
      <c r="P133" s="11">
        <f>A119</f>
        <v>2</v>
      </c>
      <c r="Q133" s="11">
        <f>A120</f>
        <v>3</v>
      </c>
      <c r="R133" s="11">
        <f>A121</f>
        <v>4</v>
      </c>
      <c r="S133" s="11">
        <f>A122</f>
        <v>5</v>
      </c>
      <c r="T133" s="11">
        <f>A123</f>
        <v>6</v>
      </c>
      <c r="U133" s="11">
        <f>A124</f>
        <v>7</v>
      </c>
      <c r="V133" s="11">
        <f>A125</f>
        <v>8</v>
      </c>
      <c r="W133" s="11">
        <f>A126</f>
        <v>9</v>
      </c>
      <c r="X133" s="11">
        <f>A127</f>
        <v>10</v>
      </c>
      <c r="Y133" s="11">
        <f>A128</f>
        <v>11</v>
      </c>
      <c r="Z133" s="11">
        <f>A129</f>
        <v>12</v>
      </c>
      <c r="AA133" s="11">
        <f>A130</f>
        <v>13</v>
      </c>
    </row>
    <row r="134" spans="1:27" x14ac:dyDescent="0.2">
      <c r="A134" s="11">
        <f>B104</f>
        <v>-0.44444444444444442</v>
      </c>
      <c r="B134" s="11">
        <f>B105</f>
        <v>0.55555555555555558</v>
      </c>
      <c r="C134" s="11">
        <f>B106</f>
        <v>-0.44444444444444442</v>
      </c>
      <c r="D134" s="11">
        <f>B107</f>
        <v>-0.44444444444444442</v>
      </c>
      <c r="E134" s="11">
        <f>B108</f>
        <v>-0.44444444444444442</v>
      </c>
      <c r="F134" s="11">
        <f>B109</f>
        <v>-0.44444444444444442</v>
      </c>
      <c r="G134" s="11">
        <f>B110</f>
        <v>-0.44444444444444442</v>
      </c>
      <c r="H134" s="11">
        <f>B111</f>
        <v>0.55555555555555558</v>
      </c>
      <c r="I134" s="11">
        <f>B112</f>
        <v>0.55555555555555558</v>
      </c>
      <c r="J134" s="11">
        <f>B113</f>
        <v>-0.44444444444444442</v>
      </c>
      <c r="K134" s="11">
        <f>B114</f>
        <v>-0.44444444444444442</v>
      </c>
      <c r="L134" s="11">
        <f>B115</f>
        <v>0.55555555555555558</v>
      </c>
      <c r="M134" s="11">
        <f>B116</f>
        <v>-0.44444444444444442</v>
      </c>
      <c r="N134" s="11">
        <f>B117</f>
        <v>0.55555555555555558</v>
      </c>
      <c r="O134" s="11">
        <f>B118</f>
        <v>0.55555555555555558</v>
      </c>
      <c r="P134" s="11">
        <f>B119</f>
        <v>0.55555555555555558</v>
      </c>
      <c r="Q134" s="11">
        <f>B120</f>
        <v>0.55555555555555558</v>
      </c>
      <c r="R134" s="11">
        <f>B121</f>
        <v>-0.44444444444444442</v>
      </c>
      <c r="S134" s="11">
        <f>B122</f>
        <v>-0.44444444444444442</v>
      </c>
      <c r="T134" s="11">
        <f>B123</f>
        <v>-0.44444444444444442</v>
      </c>
      <c r="U134" s="11">
        <f>B124</f>
        <v>0.55555555555555558</v>
      </c>
      <c r="V134" s="11">
        <f>B125</f>
        <v>0.55555555555555558</v>
      </c>
      <c r="W134" s="11">
        <f>B126</f>
        <v>-0.44444444444444442</v>
      </c>
      <c r="X134" s="11">
        <f>B127</f>
        <v>0.55555555555555558</v>
      </c>
      <c r="Y134" s="11">
        <f>B128</f>
        <v>-0.44444444444444442</v>
      </c>
      <c r="Z134" s="11">
        <f>B129</f>
        <v>0.55555555555555558</v>
      </c>
      <c r="AA134" s="11">
        <f>B130</f>
        <v>-0.44444444444444442</v>
      </c>
    </row>
    <row r="135" spans="1:27" x14ac:dyDescent="0.2">
      <c r="A135" s="11">
        <f>C104</f>
        <v>-9.7777777777777715</v>
      </c>
      <c r="B135" s="11">
        <f>C105</f>
        <v>-4.7777777777777715</v>
      </c>
      <c r="C135" s="11">
        <f>C106</f>
        <v>3.2222222222222285</v>
      </c>
      <c r="D135" s="11">
        <f>C107</f>
        <v>-1.7777777777777715</v>
      </c>
      <c r="E135" s="11">
        <f>C108</f>
        <v>-4.7777777777777715</v>
      </c>
      <c r="F135" s="11">
        <f>C109</f>
        <v>-7.7777777777777715</v>
      </c>
      <c r="G135" s="11">
        <f>C110</f>
        <v>-0.77777777777777146</v>
      </c>
      <c r="H135" s="11">
        <f>C111</f>
        <v>12.222222222222229</v>
      </c>
      <c r="I135" s="11">
        <f>C112</f>
        <v>14.222222222222229</v>
      </c>
      <c r="J135" s="11">
        <f>C113</f>
        <v>-10.777777777777771</v>
      </c>
      <c r="K135" s="11">
        <f>C114</f>
        <v>-12.777777777777771</v>
      </c>
      <c r="L135" s="11">
        <f>C115</f>
        <v>4.2222222222222285</v>
      </c>
      <c r="M135" s="11">
        <f>C116</f>
        <v>-10.777777777777771</v>
      </c>
      <c r="N135" s="11">
        <f>C117</f>
        <v>9.2222222222222285</v>
      </c>
      <c r="O135" s="11">
        <f>C118</f>
        <v>12.222222222222229</v>
      </c>
      <c r="P135" s="11">
        <f>C119</f>
        <v>13.222222222222229</v>
      </c>
      <c r="Q135" s="11">
        <f>C120</f>
        <v>7.2222222222222285</v>
      </c>
      <c r="R135" s="11">
        <f>C121</f>
        <v>-6.7777777777777715</v>
      </c>
      <c r="S135" s="11">
        <f>C122</f>
        <v>-12.777777777777771</v>
      </c>
      <c r="T135" s="11">
        <f>C123</f>
        <v>-16.777777777777771</v>
      </c>
      <c r="U135" s="11">
        <f>C124</f>
        <v>12.222222222222229</v>
      </c>
      <c r="V135" s="11">
        <f>C125</f>
        <v>4.2222222222222285</v>
      </c>
      <c r="W135" s="11">
        <f>C126</f>
        <v>-13.777777777777771</v>
      </c>
      <c r="X135" s="11">
        <f>C127</f>
        <v>20.222222222222229</v>
      </c>
      <c r="Y135" s="11">
        <f>C128</f>
        <v>1.2222222222222285</v>
      </c>
      <c r="Z135" s="11">
        <f>C129</f>
        <v>1.2222222222222285</v>
      </c>
      <c r="AA135" s="11">
        <f>C130</f>
        <v>-0.77777777777777146</v>
      </c>
    </row>
    <row r="136" spans="1:27" x14ac:dyDescent="0.2">
      <c r="A136" s="11">
        <f>D104</f>
        <v>-14.888888888888886</v>
      </c>
      <c r="B136" s="11">
        <f>D105</f>
        <v>-1.8888888888888857</v>
      </c>
      <c r="C136" s="11">
        <f>D106</f>
        <v>1.1111111111111143</v>
      </c>
      <c r="D136" s="11">
        <f>D107</f>
        <v>-11.888888888888886</v>
      </c>
      <c r="E136" s="11">
        <f>D108</f>
        <v>-12.888888888888886</v>
      </c>
      <c r="F136" s="11">
        <f>D109</f>
        <v>3.1111111111111143</v>
      </c>
      <c r="G136" s="11">
        <f>D110</f>
        <v>-15.888888888888886</v>
      </c>
      <c r="H136" s="11">
        <f>D111</f>
        <v>10.111111111111114</v>
      </c>
      <c r="I136" s="11">
        <f>D112</f>
        <v>10.111111111111114</v>
      </c>
      <c r="J136" s="11">
        <f>D113</f>
        <v>-13.888888888888886</v>
      </c>
      <c r="K136" s="11">
        <f>D114</f>
        <v>1.1111111111111143</v>
      </c>
      <c r="L136" s="11">
        <f>D115</f>
        <v>0.11111111111111427</v>
      </c>
      <c r="M136" s="11">
        <f>D116</f>
        <v>-20.888888888888886</v>
      </c>
      <c r="N136" s="11">
        <f>D117</f>
        <v>10.111111111111114</v>
      </c>
      <c r="O136" s="11">
        <f>D118</f>
        <v>12.111111111111114</v>
      </c>
      <c r="P136" s="11">
        <f>D119</f>
        <v>27.111111111111114</v>
      </c>
      <c r="Q136" s="11">
        <f>D120</f>
        <v>9.1111111111111143</v>
      </c>
      <c r="R136" s="11">
        <f>D121</f>
        <v>4.1111111111111143</v>
      </c>
      <c r="S136" s="11">
        <f>D122</f>
        <v>-11.888888888888886</v>
      </c>
      <c r="T136" s="11">
        <f>D123</f>
        <v>-18.888888888888886</v>
      </c>
      <c r="U136" s="11">
        <f>D124</f>
        <v>16.111111111111114</v>
      </c>
      <c r="V136" s="11">
        <f>D125</f>
        <v>5.1111111111111143</v>
      </c>
      <c r="W136" s="11">
        <f>D126</f>
        <v>-10.888888888888886</v>
      </c>
      <c r="X136" s="11">
        <f>D127</f>
        <v>23.111111111111114</v>
      </c>
      <c r="Y136" s="11">
        <f>D128</f>
        <v>6.1111111111111143</v>
      </c>
      <c r="Z136" s="11">
        <f>D129</f>
        <v>3.1111111111111143</v>
      </c>
      <c r="AA136" s="11">
        <f>D130</f>
        <v>-7.8888888888888857</v>
      </c>
    </row>
    <row r="137" spans="1:27" x14ac:dyDescent="0.2">
      <c r="A137" s="11">
        <f>E104</f>
        <v>-2.981481481481481</v>
      </c>
      <c r="B137" s="11">
        <f>E105</f>
        <v>1.8518518518519045E-2</v>
      </c>
      <c r="C137" s="11">
        <f>E106</f>
        <v>-0.98148148148148096</v>
      </c>
      <c r="D137" s="11">
        <f>E107</f>
        <v>-1.981481481481481</v>
      </c>
      <c r="E137" s="11">
        <f>E108</f>
        <v>-2.981481481481481</v>
      </c>
      <c r="F137" s="11">
        <f>E109</f>
        <v>-0.98148148148148096</v>
      </c>
      <c r="G137" s="11">
        <f>E110</f>
        <v>1.8518518518519045E-2</v>
      </c>
      <c r="H137" s="11">
        <f>E111</f>
        <v>4.018518518518519</v>
      </c>
      <c r="I137" s="11">
        <f>E112</f>
        <v>2.018518518518519</v>
      </c>
      <c r="J137" s="11">
        <f>E113</f>
        <v>-2.981481481481481</v>
      </c>
      <c r="K137" s="11">
        <f>E114</f>
        <v>-2.981481481481481</v>
      </c>
      <c r="L137" s="11">
        <f>E115</f>
        <v>1.018518518518519</v>
      </c>
      <c r="M137" s="11">
        <f>E116</f>
        <v>-2.981481481481481</v>
      </c>
      <c r="N137" s="11">
        <f>E117</f>
        <v>3.018518518518519</v>
      </c>
      <c r="O137" s="11">
        <f>E118</f>
        <v>4.018518518518519</v>
      </c>
      <c r="P137" s="11">
        <f>E119</f>
        <v>2.018518518518519</v>
      </c>
      <c r="Q137" s="11">
        <f>E120</f>
        <v>3.018518518518519</v>
      </c>
      <c r="R137" s="11">
        <f>E121</f>
        <v>1.8518518518519045E-2</v>
      </c>
      <c r="S137" s="11">
        <f>E122</f>
        <v>-2.981481481481481</v>
      </c>
      <c r="T137" s="11">
        <f>E123</f>
        <v>-4.981481481481481</v>
      </c>
      <c r="U137" s="11">
        <f>E124</f>
        <v>4.018518518518519</v>
      </c>
      <c r="V137" s="11">
        <f>E125</f>
        <v>2.018518518518519</v>
      </c>
      <c r="W137" s="11">
        <f>E126</f>
        <v>-2.981481481481481</v>
      </c>
      <c r="X137" s="11">
        <f>E127</f>
        <v>6.018518518518519</v>
      </c>
      <c r="Y137" s="11">
        <f>E128</f>
        <v>-0.98148148148148096</v>
      </c>
      <c r="Z137" s="11">
        <f>E129</f>
        <v>1.018518518518519</v>
      </c>
      <c r="AA137" s="11">
        <f>E130</f>
        <v>-1.481481481481481</v>
      </c>
    </row>
    <row r="138" spans="1:27" x14ac:dyDescent="0.2">
      <c r="A138" s="11">
        <f>F104</f>
        <v>-5.4629629629629619</v>
      </c>
      <c r="B138" s="11">
        <f>F105</f>
        <v>-0.46296296296296191</v>
      </c>
      <c r="C138" s="11">
        <f>F106</f>
        <v>1.5370370370370381</v>
      </c>
      <c r="D138" s="11">
        <f>F107</f>
        <v>-0.46296296296296191</v>
      </c>
      <c r="E138" s="11">
        <f>F108</f>
        <v>-2.4629629629629619</v>
      </c>
      <c r="F138" s="11">
        <f>F109</f>
        <v>-2.4629629629629619</v>
      </c>
      <c r="G138" s="11">
        <f>F110</f>
        <v>-0.96296296296296191</v>
      </c>
      <c r="H138" s="11">
        <f>F111</f>
        <v>0.53703703703703809</v>
      </c>
      <c r="I138" s="11">
        <f>F112</f>
        <v>5.5370370370370381</v>
      </c>
      <c r="J138" s="11">
        <f>F113</f>
        <v>-4.9629629629629619</v>
      </c>
      <c r="K138" s="11">
        <f>F114</f>
        <v>-5.4629629629629619</v>
      </c>
      <c r="L138" s="11">
        <f>F115</f>
        <v>5.5370370370370381</v>
      </c>
      <c r="M138" s="11">
        <f>F116</f>
        <v>-5.4629629629629619</v>
      </c>
      <c r="N138" s="11">
        <f>F117</f>
        <v>1.5370370370370381</v>
      </c>
      <c r="O138" s="11">
        <f>F118</f>
        <v>9.5370370370370381</v>
      </c>
      <c r="P138" s="11">
        <f>F119</f>
        <v>9.5370370370370381</v>
      </c>
      <c r="Q138" s="11">
        <f>F120</f>
        <v>4.5370370370370381</v>
      </c>
      <c r="R138" s="11">
        <f>F121</f>
        <v>-1.4629629629629619</v>
      </c>
      <c r="S138" s="11">
        <f>F122</f>
        <v>-6.4629629629629619</v>
      </c>
      <c r="T138" s="11">
        <f>F123</f>
        <v>-7.4629629629629619</v>
      </c>
      <c r="U138" s="11">
        <f>F124</f>
        <v>2.5370370370370381</v>
      </c>
      <c r="V138" s="11">
        <f>F125</f>
        <v>0.53703703703703809</v>
      </c>
      <c r="W138" s="11">
        <f>F126</f>
        <v>-6.4629629629629619</v>
      </c>
      <c r="X138" s="11">
        <f>F127</f>
        <v>8.5370370370370381</v>
      </c>
      <c r="Y138" s="11">
        <f>F128</f>
        <v>-0.46296296296296191</v>
      </c>
      <c r="Z138" s="11">
        <f>F129</f>
        <v>3.5370370370370381</v>
      </c>
      <c r="AA138" s="11">
        <f>F130</f>
        <v>-2.9629629629629619</v>
      </c>
    </row>
    <row r="139" spans="1:27" x14ac:dyDescent="0.2">
      <c r="A139" s="11">
        <f>G104</f>
        <v>-3.8518518518518547</v>
      </c>
      <c r="B139" s="11">
        <f>G105</f>
        <v>-1.8518518518518547</v>
      </c>
      <c r="C139" s="11">
        <f>G106</f>
        <v>2.1481481481481453</v>
      </c>
      <c r="D139" s="11">
        <f>G107</f>
        <v>-4.3518518518518547</v>
      </c>
      <c r="E139" s="11">
        <f>G108</f>
        <v>-1.3518518518518547</v>
      </c>
      <c r="F139" s="11">
        <f>G109</f>
        <v>-1.8518518518518547</v>
      </c>
      <c r="G139" s="11">
        <f>G110</f>
        <v>-4.8518518518518547</v>
      </c>
      <c r="H139" s="11">
        <f>G111</f>
        <v>4.1481481481481453</v>
      </c>
      <c r="I139" s="11">
        <f>G112</f>
        <v>1.6481481481481453</v>
      </c>
      <c r="J139" s="11">
        <f>G113</f>
        <v>-1.8518518518518547</v>
      </c>
      <c r="K139" s="11">
        <f>G114</f>
        <v>0.14814814814814525</v>
      </c>
      <c r="L139" s="11">
        <f>G115</f>
        <v>2.1481481481481453</v>
      </c>
      <c r="M139" s="11">
        <f>G116</f>
        <v>-2.8518518518518547</v>
      </c>
      <c r="N139" s="11">
        <f>G117</f>
        <v>4.1481481481481453</v>
      </c>
      <c r="O139" s="11">
        <f>G118</f>
        <v>5.1481481481481453</v>
      </c>
      <c r="P139" s="11">
        <f>G119</f>
        <v>7.1481481481481453</v>
      </c>
      <c r="Q139" s="11">
        <f>G120</f>
        <v>2.1481481481481453</v>
      </c>
      <c r="R139" s="11">
        <f>G121</f>
        <v>-1.8518518518518547</v>
      </c>
      <c r="S139" s="11">
        <f>G122</f>
        <v>-9.8518518518518547</v>
      </c>
      <c r="T139" s="11">
        <f>G123</f>
        <v>-5.8518518518518547</v>
      </c>
      <c r="U139" s="11">
        <f>G124</f>
        <v>3.1481481481481453</v>
      </c>
      <c r="V139" s="11">
        <f>G125</f>
        <v>2.1481481481481453</v>
      </c>
      <c r="W139" s="11">
        <f>G126</f>
        <v>-2.8518518518518547</v>
      </c>
      <c r="X139" s="11">
        <f>G127</f>
        <v>7.1481481481481453</v>
      </c>
      <c r="Y139" s="11">
        <f>G128</f>
        <v>-0.85185185185185475</v>
      </c>
      <c r="Z139" s="11">
        <f>G129</f>
        <v>0.64814814814814525</v>
      </c>
      <c r="AA139" s="11">
        <f>G130</f>
        <v>2.1481481481481453</v>
      </c>
    </row>
    <row r="140" spans="1:27" x14ac:dyDescent="0.2">
      <c r="A140" s="11">
        <f>H104</f>
        <v>-0.24074074074074048</v>
      </c>
      <c r="B140" s="11">
        <f>H105</f>
        <v>-2.2407407407407405</v>
      </c>
      <c r="C140" s="11">
        <f>H106</f>
        <v>0.75925925925925952</v>
      </c>
      <c r="D140" s="11">
        <f>H107</f>
        <v>0.75925925925925952</v>
      </c>
      <c r="E140" s="11">
        <f>H108</f>
        <v>-3.2407407407407405</v>
      </c>
      <c r="F140" s="11">
        <f>H109</f>
        <v>-1.2407407407407405</v>
      </c>
      <c r="G140" s="11">
        <f>H110</f>
        <v>-2.7407407407407405</v>
      </c>
      <c r="H140" s="11">
        <f>H111</f>
        <v>2.7592592592592595</v>
      </c>
      <c r="I140" s="11">
        <f>H112</f>
        <v>2.2592592592592595</v>
      </c>
      <c r="J140" s="11">
        <f>H113</f>
        <v>-0.24074074074074048</v>
      </c>
      <c r="K140" s="11">
        <f>H114</f>
        <v>0.75925925925925952</v>
      </c>
      <c r="L140" s="11">
        <f>H115</f>
        <v>-0.74074074074074048</v>
      </c>
      <c r="M140" s="11">
        <f>H116</f>
        <v>-2.2407407407407405</v>
      </c>
      <c r="N140" s="11">
        <f>H117</f>
        <v>1.7592592592592595</v>
      </c>
      <c r="O140" s="11">
        <f>H118</f>
        <v>-0.24074074074074048</v>
      </c>
      <c r="P140" s="11">
        <f>H119</f>
        <v>1.7592592592592595</v>
      </c>
      <c r="Q140" s="11">
        <f>H120</f>
        <v>0.75925925925925952</v>
      </c>
      <c r="R140" s="11">
        <f>H121</f>
        <v>1.7592592592592595</v>
      </c>
      <c r="S140" s="11">
        <f>H122</f>
        <v>-1.2407407407407405</v>
      </c>
      <c r="T140" s="11">
        <f>H123</f>
        <v>-2.2407407407407405</v>
      </c>
      <c r="U140" s="11">
        <f>H124</f>
        <v>-0.24074074074074048</v>
      </c>
      <c r="V140" s="11">
        <f>H125</f>
        <v>-1.2407407407407405</v>
      </c>
      <c r="W140" s="11">
        <f>H126</f>
        <v>-1.2407407407407405</v>
      </c>
      <c r="X140" s="11">
        <f>H127</f>
        <v>3.7592592592592595</v>
      </c>
      <c r="Y140" s="11">
        <f>H128</f>
        <v>-1.2407407407407405</v>
      </c>
      <c r="Z140" s="11">
        <f>H129</f>
        <v>0.75925925925925952</v>
      </c>
      <c r="AA140" s="11">
        <f>H130</f>
        <v>2.7592592592592595</v>
      </c>
    </row>
    <row r="141" spans="1:27" x14ac:dyDescent="0.2">
      <c r="A141" s="11">
        <f>I104</f>
        <v>-3.0925925925925952</v>
      </c>
      <c r="B141" s="11">
        <f>I105</f>
        <v>0.90740740740740478</v>
      </c>
      <c r="C141" s="11">
        <f>I106</f>
        <v>0.90740740740740478</v>
      </c>
      <c r="D141" s="11">
        <f>I107</f>
        <v>0.90740740740740478</v>
      </c>
      <c r="E141" s="11">
        <f>I108</f>
        <v>-3.0925925925925952</v>
      </c>
      <c r="F141" s="11">
        <f>I109</f>
        <v>-1.0925925925925952</v>
      </c>
      <c r="G141" s="11">
        <f>I110</f>
        <v>-9.2592592592595224E-2</v>
      </c>
      <c r="H141" s="11">
        <f>I111</f>
        <v>3.9074074074074048</v>
      </c>
      <c r="I141" s="11">
        <f>I112</f>
        <v>3.9074074074074048</v>
      </c>
      <c r="J141" s="11">
        <f>I113</f>
        <v>-2.0925925925925952</v>
      </c>
      <c r="K141" s="11">
        <f>I114</f>
        <v>-2.0925925925925952</v>
      </c>
      <c r="L141" s="11">
        <f>I115</f>
        <v>3.9074074074074048</v>
      </c>
      <c r="M141" s="11">
        <f>I116</f>
        <v>-4.0925925925925952</v>
      </c>
      <c r="N141" s="11">
        <f>I117</f>
        <v>1.9074074074074048</v>
      </c>
      <c r="O141" s="11">
        <f>I118</f>
        <v>-9.2592592592595224E-2</v>
      </c>
      <c r="P141" s="11">
        <f>I119</f>
        <v>-9.2592592592595224E-2</v>
      </c>
      <c r="Q141" s="11">
        <f>I120</f>
        <v>1.9074074074074048</v>
      </c>
      <c r="R141" s="11">
        <f>I121</f>
        <v>-1.0925925925925952</v>
      </c>
      <c r="S141" s="11">
        <f>I122</f>
        <v>-2.0925925925925952</v>
      </c>
      <c r="T141" s="11">
        <f>I123</f>
        <v>-5.0925925925925952</v>
      </c>
      <c r="U141" s="11">
        <f>I124</f>
        <v>2.9074074074074048</v>
      </c>
      <c r="V141" s="11">
        <f>I125</f>
        <v>0.90740740740740478</v>
      </c>
      <c r="W141" s="11">
        <f>I126</f>
        <v>-5.0925925925925952</v>
      </c>
      <c r="X141" s="11">
        <f>I127</f>
        <v>8.9074074074074048</v>
      </c>
      <c r="Y141" s="11">
        <f>I128</f>
        <v>-9.2592592592595224E-2</v>
      </c>
      <c r="Z141" s="11">
        <f>I129</f>
        <v>1.4074074074074048</v>
      </c>
      <c r="AA141" s="11">
        <f>I130</f>
        <v>-3.0925925925925952</v>
      </c>
    </row>
    <row r="143" spans="1:27" x14ac:dyDescent="0.2">
      <c r="A143" s="4" t="s">
        <v>10</v>
      </c>
      <c r="B143" s="4" t="s">
        <v>2</v>
      </c>
      <c r="C143" s="4" t="s">
        <v>3</v>
      </c>
      <c r="D143" s="4" t="s">
        <v>4</v>
      </c>
      <c r="E143" s="4" t="s">
        <v>5</v>
      </c>
      <c r="F143" s="4" t="s">
        <v>6</v>
      </c>
      <c r="G143" s="4" t="s">
        <v>7</v>
      </c>
      <c r="H143" s="4" t="s">
        <v>8</v>
      </c>
      <c r="I143" s="4" t="s">
        <v>9</v>
      </c>
      <c r="J143" s="17"/>
      <c r="K143" s="17"/>
      <c r="L143" s="17"/>
    </row>
    <row r="144" spans="1:27" x14ac:dyDescent="0.2">
      <c r="A144" s="7">
        <f t="array" ref="A144:I152">MMULT(A133:AA141,A104:I130)</f>
        <v>1638</v>
      </c>
      <c r="B144" s="7">
        <v>18</v>
      </c>
      <c r="C144" s="7">
        <v>301</v>
      </c>
      <c r="D144" s="7">
        <v>712.99999999999966</v>
      </c>
      <c r="E144" s="7">
        <v>123.49999999999999</v>
      </c>
      <c r="F144" s="7">
        <v>120</v>
      </c>
      <c r="G144" s="7">
        <v>171.00000000000003</v>
      </c>
      <c r="H144" s="7">
        <v>86</v>
      </c>
      <c r="I144" s="7">
        <v>22</v>
      </c>
    </row>
    <row r="145" spans="1:12" x14ac:dyDescent="0.2">
      <c r="A145" s="7">
        <v>18</v>
      </c>
      <c r="B145" s="7">
        <v>6.666666666666667</v>
      </c>
      <c r="C145" s="7">
        <v>105.66666666666666</v>
      </c>
      <c r="D145" s="7">
        <v>124.33333333333333</v>
      </c>
      <c r="E145" s="7">
        <v>32.222222222222214</v>
      </c>
      <c r="F145" s="7">
        <v>51.44444444444445</v>
      </c>
      <c r="G145" s="7">
        <v>37.777777777777771</v>
      </c>
      <c r="H145" s="7">
        <v>9.1111111111111107</v>
      </c>
      <c r="I145" s="7">
        <v>30.388888888888893</v>
      </c>
    </row>
    <row r="146" spans="1:12" x14ac:dyDescent="0.2">
      <c r="A146" s="7">
        <v>301</v>
      </c>
      <c r="B146" s="7">
        <v>105.66666666666666</v>
      </c>
      <c r="C146" s="7">
        <v>2702.6666666666665</v>
      </c>
      <c r="D146" s="7">
        <v>2817.333333333333</v>
      </c>
      <c r="E146" s="7">
        <v>704.38888888888903</v>
      </c>
      <c r="F146" s="7">
        <v>1192.2777777777781</v>
      </c>
      <c r="G146" s="7">
        <v>895.11111111111109</v>
      </c>
      <c r="H146" s="7">
        <v>286.94444444444446</v>
      </c>
      <c r="I146" s="7">
        <v>706.05555555555566</v>
      </c>
    </row>
    <row r="147" spans="1:12" x14ac:dyDescent="0.2">
      <c r="A147" s="7">
        <v>712.99999999999966</v>
      </c>
      <c r="B147" s="7">
        <v>124.33333333333333</v>
      </c>
      <c r="C147" s="7">
        <v>2817.333333333333</v>
      </c>
      <c r="D147" s="7">
        <v>4260.6666666666661</v>
      </c>
      <c r="E147" s="7">
        <v>809.94444444444446</v>
      </c>
      <c r="F147" s="7">
        <v>1353.3888888888889</v>
      </c>
      <c r="G147" s="7">
        <v>1123.5555555555557</v>
      </c>
      <c r="H147" s="7">
        <v>379.72222222222223</v>
      </c>
      <c r="I147" s="7">
        <v>754.77777777777783</v>
      </c>
    </row>
    <row r="148" spans="1:12" x14ac:dyDescent="0.2">
      <c r="A148" s="7">
        <v>123.49999999999999</v>
      </c>
      <c r="B148" s="7">
        <v>32.222222222222214</v>
      </c>
      <c r="C148" s="7">
        <v>704.38888888888903</v>
      </c>
      <c r="D148" s="7">
        <v>809.94444444444446</v>
      </c>
      <c r="E148" s="7">
        <v>213.24074074074079</v>
      </c>
      <c r="F148" s="7">
        <v>314.48148148148147</v>
      </c>
      <c r="G148" s="7">
        <v>238.92592592592595</v>
      </c>
      <c r="H148" s="7">
        <v>75.120370370370367</v>
      </c>
      <c r="I148" s="7">
        <v>200.04629629629625</v>
      </c>
    </row>
    <row r="149" spans="1:12" x14ac:dyDescent="0.2">
      <c r="A149" s="7">
        <v>120</v>
      </c>
      <c r="B149" s="7">
        <v>51.44444444444445</v>
      </c>
      <c r="C149" s="7">
        <v>1192.2777777777781</v>
      </c>
      <c r="D149" s="7">
        <v>1353.3888888888889</v>
      </c>
      <c r="E149" s="7">
        <v>314.48148148148147</v>
      </c>
      <c r="F149" s="7">
        <v>638.96296296296282</v>
      </c>
      <c r="G149" s="7">
        <v>415.35185185185179</v>
      </c>
      <c r="H149" s="7">
        <v>112.74074074074073</v>
      </c>
      <c r="I149" s="7">
        <v>311.34259259259255</v>
      </c>
    </row>
    <row r="150" spans="1:12" x14ac:dyDescent="0.2">
      <c r="A150" s="7">
        <v>171.00000000000003</v>
      </c>
      <c r="B150" s="7">
        <v>37.777777777777771</v>
      </c>
      <c r="C150" s="7">
        <v>895.11111111111109</v>
      </c>
      <c r="D150" s="7">
        <v>1123.5555555555557</v>
      </c>
      <c r="E150" s="7">
        <v>238.92592592592595</v>
      </c>
      <c r="F150" s="7">
        <v>415.35185185185179</v>
      </c>
      <c r="G150" s="7">
        <v>420.40740740740739</v>
      </c>
      <c r="H150" s="7">
        <v>120.71296296296296</v>
      </c>
      <c r="I150" s="7">
        <v>208.12037037037041</v>
      </c>
    </row>
    <row r="151" spans="1:12" x14ac:dyDescent="0.2">
      <c r="A151" s="7">
        <v>86</v>
      </c>
      <c r="B151" s="7">
        <v>9.1111111111111107</v>
      </c>
      <c r="C151" s="7">
        <v>286.94444444444446</v>
      </c>
      <c r="D151" s="7">
        <v>379.72222222222223</v>
      </c>
      <c r="E151" s="7">
        <v>75.120370370370367</v>
      </c>
      <c r="F151" s="7">
        <v>112.74074074074073</v>
      </c>
      <c r="G151" s="7">
        <v>120.71296296296296</v>
      </c>
      <c r="H151" s="7">
        <v>88.185185185185134</v>
      </c>
      <c r="I151" s="7">
        <v>83.898148148148181</v>
      </c>
    </row>
    <row r="152" spans="1:12" x14ac:dyDescent="0.2">
      <c r="A152" s="7">
        <v>22</v>
      </c>
      <c r="B152" s="7">
        <v>30.388888888888893</v>
      </c>
      <c r="C152" s="7">
        <v>706.05555555555566</v>
      </c>
      <c r="D152" s="7">
        <v>754.77777777777783</v>
      </c>
      <c r="E152" s="7">
        <v>200.04629629629625</v>
      </c>
      <c r="F152" s="7">
        <v>311.34259259259255</v>
      </c>
      <c r="G152" s="7">
        <v>208.12037037037041</v>
      </c>
      <c r="H152" s="7">
        <v>83.898148148148181</v>
      </c>
      <c r="I152" s="7">
        <v>259.01851851851853</v>
      </c>
    </row>
    <row r="154" spans="1:12" x14ac:dyDescent="0.2">
      <c r="A154" s="4" t="s">
        <v>10</v>
      </c>
      <c r="B154" s="4" t="s">
        <v>2</v>
      </c>
      <c r="C154" s="4" t="s">
        <v>3</v>
      </c>
      <c r="D154" s="4" t="s">
        <v>4</v>
      </c>
      <c r="E154" s="4" t="s">
        <v>5</v>
      </c>
      <c r="F154" s="4" t="s">
        <v>6</v>
      </c>
      <c r="G154" s="4" t="s">
        <v>7</v>
      </c>
      <c r="H154" s="4" t="s">
        <v>8</v>
      </c>
      <c r="I154" s="4" t="s">
        <v>9</v>
      </c>
      <c r="J154" s="17"/>
      <c r="K154" s="17"/>
      <c r="L154" s="17"/>
    </row>
    <row r="155" spans="1:12" x14ac:dyDescent="0.2">
      <c r="A155" s="7">
        <f t="array" ref="A155:I163">A144:I152/($A$59-1)</f>
        <v>63</v>
      </c>
      <c r="B155" s="7">
        <v>0.69230769230769229</v>
      </c>
      <c r="C155" s="7">
        <v>11.576923076923077</v>
      </c>
      <c r="D155" s="7">
        <v>27.423076923076909</v>
      </c>
      <c r="E155" s="7">
        <v>4.7499999999999991</v>
      </c>
      <c r="F155" s="7">
        <v>4.615384615384615</v>
      </c>
      <c r="G155" s="7">
        <v>6.5769230769230784</v>
      </c>
      <c r="H155" s="7">
        <v>3.3076923076923075</v>
      </c>
      <c r="I155" s="7">
        <v>0.84615384615384615</v>
      </c>
    </row>
    <row r="156" spans="1:12" x14ac:dyDescent="0.2">
      <c r="A156" s="7">
        <v>0.69230769230769229</v>
      </c>
      <c r="B156" s="7">
        <v>0.25641025641025644</v>
      </c>
      <c r="C156" s="7">
        <v>4.0641025641025639</v>
      </c>
      <c r="D156" s="7">
        <v>4.7820512820512819</v>
      </c>
      <c r="E156" s="7">
        <v>1.2393162393162389</v>
      </c>
      <c r="F156" s="7">
        <v>1.9786324786324789</v>
      </c>
      <c r="G156" s="7">
        <v>1.4529914529914527</v>
      </c>
      <c r="H156" s="7">
        <v>0.3504273504273504</v>
      </c>
      <c r="I156" s="7">
        <v>1.1688034188034189</v>
      </c>
    </row>
    <row r="157" spans="1:12" x14ac:dyDescent="0.2">
      <c r="A157" s="7">
        <v>11.576923076923077</v>
      </c>
      <c r="B157" s="7">
        <v>4.0641025641025639</v>
      </c>
      <c r="C157" s="7">
        <v>103.94871794871794</v>
      </c>
      <c r="D157" s="7">
        <v>108.35897435897435</v>
      </c>
      <c r="E157" s="7">
        <v>27.091880341880348</v>
      </c>
      <c r="F157" s="7">
        <v>45.856837606837615</v>
      </c>
      <c r="G157" s="7">
        <v>34.427350427350426</v>
      </c>
      <c r="H157" s="7">
        <v>11.036324786324787</v>
      </c>
      <c r="I157" s="7">
        <v>27.15598290598291</v>
      </c>
    </row>
    <row r="158" spans="1:12" x14ac:dyDescent="0.2">
      <c r="A158" s="7">
        <v>27.423076923076909</v>
      </c>
      <c r="B158" s="7">
        <v>4.7820512820512819</v>
      </c>
      <c r="C158" s="7">
        <v>108.35897435897435</v>
      </c>
      <c r="D158" s="7">
        <v>163.87179487179486</v>
      </c>
      <c r="E158" s="7">
        <v>31.151709401709404</v>
      </c>
      <c r="F158" s="7">
        <v>52.053418803418808</v>
      </c>
      <c r="G158" s="7">
        <v>43.213675213675216</v>
      </c>
      <c r="H158" s="7">
        <v>14.604700854700855</v>
      </c>
      <c r="I158" s="7">
        <v>29.029914529914532</v>
      </c>
    </row>
    <row r="159" spans="1:12" x14ac:dyDescent="0.2">
      <c r="A159" s="7">
        <v>4.7499999999999991</v>
      </c>
      <c r="B159" s="7">
        <v>1.2393162393162389</v>
      </c>
      <c r="C159" s="7">
        <v>27.091880341880348</v>
      </c>
      <c r="D159" s="7">
        <v>31.151709401709404</v>
      </c>
      <c r="E159" s="7">
        <v>8.2015669515669529</v>
      </c>
      <c r="F159" s="7">
        <v>12.095441595441596</v>
      </c>
      <c r="G159" s="7">
        <v>9.1894586894586912</v>
      </c>
      <c r="H159" s="7">
        <v>2.8892450142450139</v>
      </c>
      <c r="I159" s="7">
        <v>7.6940883190883174</v>
      </c>
    </row>
    <row r="160" spans="1:12" x14ac:dyDescent="0.2">
      <c r="A160" s="7">
        <v>4.615384615384615</v>
      </c>
      <c r="B160" s="7">
        <v>1.9786324786324789</v>
      </c>
      <c r="C160" s="7">
        <v>45.856837606837615</v>
      </c>
      <c r="D160" s="7">
        <v>52.053418803418808</v>
      </c>
      <c r="E160" s="7">
        <v>12.095441595441596</v>
      </c>
      <c r="F160" s="7">
        <v>24.575498575498571</v>
      </c>
      <c r="G160" s="7">
        <v>15.975071225071222</v>
      </c>
      <c r="H160" s="7">
        <v>4.3361823361823362</v>
      </c>
      <c r="I160" s="7">
        <v>11.974715099715098</v>
      </c>
    </row>
    <row r="161" spans="1:12" x14ac:dyDescent="0.2">
      <c r="A161" s="7">
        <v>6.5769230769230784</v>
      </c>
      <c r="B161" s="7">
        <v>1.4529914529914527</v>
      </c>
      <c r="C161" s="7">
        <v>34.427350427350426</v>
      </c>
      <c r="D161" s="7">
        <v>43.213675213675216</v>
      </c>
      <c r="E161" s="7">
        <v>9.1894586894586912</v>
      </c>
      <c r="F161" s="7">
        <v>15.975071225071222</v>
      </c>
      <c r="G161" s="7">
        <v>16.169515669515668</v>
      </c>
      <c r="H161" s="7">
        <v>4.642806267806268</v>
      </c>
      <c r="I161" s="7">
        <v>8.0046296296296315</v>
      </c>
    </row>
    <row r="162" spans="1:12" x14ac:dyDescent="0.2">
      <c r="A162" s="7">
        <v>3.3076923076923075</v>
      </c>
      <c r="B162" s="7">
        <v>0.3504273504273504</v>
      </c>
      <c r="C162" s="7">
        <v>11.036324786324787</v>
      </c>
      <c r="D162" s="7">
        <v>14.604700854700855</v>
      </c>
      <c r="E162" s="7">
        <v>2.8892450142450139</v>
      </c>
      <c r="F162" s="7">
        <v>4.3361823361823362</v>
      </c>
      <c r="G162" s="7">
        <v>4.642806267806268</v>
      </c>
      <c r="H162" s="7">
        <v>3.3917378917378898</v>
      </c>
      <c r="I162" s="7">
        <v>3.226851851851853</v>
      </c>
    </row>
    <row r="163" spans="1:12" x14ac:dyDescent="0.2">
      <c r="A163" s="7">
        <v>0.84615384615384615</v>
      </c>
      <c r="B163" s="7">
        <v>1.1688034188034189</v>
      </c>
      <c r="C163" s="7">
        <v>27.15598290598291</v>
      </c>
      <c r="D163" s="7">
        <v>29.029914529914532</v>
      </c>
      <c r="E163" s="7">
        <v>7.6940883190883174</v>
      </c>
      <c r="F163" s="7">
        <v>11.974715099715098</v>
      </c>
      <c r="G163" s="7">
        <v>8.0046296296296315</v>
      </c>
      <c r="H163" s="7">
        <v>3.226851851851853</v>
      </c>
      <c r="I163" s="7">
        <v>9.9622507122507127</v>
      </c>
    </row>
    <row r="165" spans="1:12" x14ac:dyDescent="0.2">
      <c r="A165" s="4" t="s">
        <v>10</v>
      </c>
      <c r="B165" s="4" t="s">
        <v>2</v>
      </c>
      <c r="C165" s="4" t="s">
        <v>3</v>
      </c>
      <c r="D165" s="4" t="s">
        <v>4</v>
      </c>
      <c r="E165" s="4" t="s">
        <v>5</v>
      </c>
      <c r="F165" s="4" t="s">
        <v>6</v>
      </c>
      <c r="G165" s="4" t="s">
        <v>7</v>
      </c>
      <c r="H165" s="4" t="s">
        <v>8</v>
      </c>
      <c r="I165" s="4" t="s">
        <v>9</v>
      </c>
      <c r="J165" s="17"/>
      <c r="K165" s="17"/>
      <c r="L165" s="17"/>
    </row>
    <row r="166" spans="1:12" x14ac:dyDescent="0.2">
      <c r="A166" s="7">
        <f>SQRT(A155)</f>
        <v>7.9372539331937721</v>
      </c>
      <c r="B166" s="7">
        <f>SQRT(B156)</f>
        <v>0.50636968354183332</v>
      </c>
      <c r="C166" s="7">
        <f>SQRT(C157)</f>
        <v>10.195524407734894</v>
      </c>
      <c r="D166" s="7">
        <f>SQRT(D158)</f>
        <v>12.801241926930171</v>
      </c>
      <c r="E166" s="7">
        <f>SQRT(E159)</f>
        <v>2.8638378011973642</v>
      </c>
      <c r="F166" s="7">
        <f>SQRT(F160)</f>
        <v>4.9573681097431699</v>
      </c>
      <c r="G166" s="7">
        <f>SQRT(G161)</f>
        <v>4.0211336299003628</v>
      </c>
      <c r="H166" s="7">
        <f>SQRT(H162)</f>
        <v>1.841667150094688</v>
      </c>
      <c r="I166" s="7">
        <f>SQRT(I163)</f>
        <v>3.1563033302030261</v>
      </c>
    </row>
    <row r="168" spans="1:12" x14ac:dyDescent="0.2">
      <c r="A168" s="4" t="s">
        <v>10</v>
      </c>
      <c r="B168" s="4" t="s">
        <v>2</v>
      </c>
      <c r="C168" s="4" t="s">
        <v>3</v>
      </c>
      <c r="D168" s="4" t="s">
        <v>4</v>
      </c>
      <c r="E168" s="4" t="s">
        <v>5</v>
      </c>
      <c r="F168" s="4" t="s">
        <v>6</v>
      </c>
      <c r="G168" s="4" t="s">
        <v>7</v>
      </c>
      <c r="H168" s="4" t="s">
        <v>8</v>
      </c>
      <c r="I168" s="4" t="s">
        <v>9</v>
      </c>
      <c r="J168" s="17"/>
      <c r="K168" s="17"/>
      <c r="L168" s="17"/>
    </row>
    <row r="169" spans="1:12" x14ac:dyDescent="0.2">
      <c r="A169" s="19">
        <f>A$166</f>
        <v>7.9372539331937721</v>
      </c>
      <c r="B169" s="19">
        <v>0</v>
      </c>
      <c r="C169" s="19">
        <v>0</v>
      </c>
      <c r="D169" s="19">
        <v>0</v>
      </c>
      <c r="E169" s="19">
        <v>0</v>
      </c>
      <c r="F169" s="19">
        <v>0</v>
      </c>
      <c r="G169" s="19">
        <v>0</v>
      </c>
      <c r="H169" s="19">
        <v>0</v>
      </c>
      <c r="I169" s="19">
        <v>0</v>
      </c>
    </row>
    <row r="170" spans="1:12" x14ac:dyDescent="0.2">
      <c r="A170" s="19">
        <v>0</v>
      </c>
      <c r="B170" s="19">
        <f>B$166</f>
        <v>0.50636968354183332</v>
      </c>
      <c r="C170" s="19">
        <v>0</v>
      </c>
      <c r="D170" s="19">
        <v>0</v>
      </c>
      <c r="E170" s="19">
        <v>0</v>
      </c>
      <c r="F170" s="19">
        <v>0</v>
      </c>
      <c r="G170" s="19">
        <v>0</v>
      </c>
      <c r="H170" s="19">
        <v>0</v>
      </c>
      <c r="I170" s="19">
        <v>0</v>
      </c>
    </row>
    <row r="171" spans="1:12" x14ac:dyDescent="0.2">
      <c r="A171" s="19">
        <v>0</v>
      </c>
      <c r="B171" s="19">
        <v>0</v>
      </c>
      <c r="C171" s="19">
        <f>C$166</f>
        <v>10.195524407734894</v>
      </c>
      <c r="D171" s="19">
        <v>0</v>
      </c>
      <c r="E171" s="19">
        <v>0</v>
      </c>
      <c r="F171" s="19">
        <v>0</v>
      </c>
      <c r="G171" s="19">
        <v>0</v>
      </c>
      <c r="H171" s="19">
        <v>0</v>
      </c>
      <c r="I171" s="19">
        <v>0</v>
      </c>
    </row>
    <row r="172" spans="1:12" x14ac:dyDescent="0.2">
      <c r="A172" s="19">
        <v>0</v>
      </c>
      <c r="B172" s="19">
        <v>0</v>
      </c>
      <c r="C172" s="19">
        <v>0</v>
      </c>
      <c r="D172" s="19">
        <f>D$166</f>
        <v>12.801241926930171</v>
      </c>
      <c r="E172" s="19">
        <v>0</v>
      </c>
      <c r="F172" s="19">
        <v>0</v>
      </c>
      <c r="G172" s="19">
        <v>0</v>
      </c>
      <c r="H172" s="19">
        <v>0</v>
      </c>
      <c r="I172" s="19">
        <v>0</v>
      </c>
    </row>
    <row r="173" spans="1:12" x14ac:dyDescent="0.2">
      <c r="A173" s="19">
        <v>0</v>
      </c>
      <c r="B173" s="19">
        <v>0</v>
      </c>
      <c r="C173" s="19">
        <v>0</v>
      </c>
      <c r="D173" s="19">
        <v>0</v>
      </c>
      <c r="E173" s="19">
        <f>E$166</f>
        <v>2.8638378011973642</v>
      </c>
      <c r="F173" s="19">
        <v>0</v>
      </c>
      <c r="G173" s="19">
        <v>0</v>
      </c>
      <c r="H173" s="19">
        <v>0</v>
      </c>
      <c r="I173" s="19">
        <v>0</v>
      </c>
    </row>
    <row r="174" spans="1:12" x14ac:dyDescent="0.2">
      <c r="A174" s="19">
        <v>0</v>
      </c>
      <c r="B174" s="19">
        <v>0</v>
      </c>
      <c r="C174" s="19">
        <v>0</v>
      </c>
      <c r="D174" s="19">
        <v>0</v>
      </c>
      <c r="E174" s="19">
        <v>0</v>
      </c>
      <c r="F174" s="19">
        <f>F$166</f>
        <v>4.9573681097431699</v>
      </c>
      <c r="G174" s="19">
        <v>0</v>
      </c>
      <c r="H174" s="19">
        <v>0</v>
      </c>
      <c r="I174" s="19">
        <v>0</v>
      </c>
    </row>
    <row r="175" spans="1:12" x14ac:dyDescent="0.2">
      <c r="A175" s="19">
        <v>0</v>
      </c>
      <c r="B175" s="19">
        <v>0</v>
      </c>
      <c r="C175" s="19">
        <v>0</v>
      </c>
      <c r="D175" s="19">
        <v>0</v>
      </c>
      <c r="E175" s="19">
        <v>0</v>
      </c>
      <c r="F175" s="19">
        <v>0</v>
      </c>
      <c r="G175" s="19">
        <f>G$166</f>
        <v>4.0211336299003628</v>
      </c>
      <c r="H175" s="19">
        <v>0</v>
      </c>
      <c r="I175" s="19">
        <v>0</v>
      </c>
    </row>
    <row r="176" spans="1:12" x14ac:dyDescent="0.2">
      <c r="A176" s="19">
        <v>0</v>
      </c>
      <c r="B176" s="19">
        <v>0</v>
      </c>
      <c r="C176" s="19">
        <v>0</v>
      </c>
      <c r="D176" s="19">
        <v>0</v>
      </c>
      <c r="E176" s="19">
        <v>0</v>
      </c>
      <c r="F176" s="19">
        <v>0</v>
      </c>
      <c r="G176" s="19">
        <v>0</v>
      </c>
      <c r="H176" s="19">
        <f>H$166</f>
        <v>1.841667150094688</v>
      </c>
      <c r="I176" s="19">
        <v>0</v>
      </c>
    </row>
    <row r="177" spans="1:12" x14ac:dyDescent="0.2">
      <c r="A177" s="19">
        <v>0</v>
      </c>
      <c r="B177" s="19">
        <v>0</v>
      </c>
      <c r="C177" s="19">
        <v>0</v>
      </c>
      <c r="D177" s="19">
        <v>0</v>
      </c>
      <c r="E177" s="19">
        <v>0</v>
      </c>
      <c r="F177" s="19">
        <v>0</v>
      </c>
      <c r="G177" s="19">
        <v>0</v>
      </c>
      <c r="H177" s="19">
        <v>0</v>
      </c>
      <c r="I177" s="19">
        <f>I$166</f>
        <v>3.1563033302030261</v>
      </c>
    </row>
    <row r="179" spans="1:12" x14ac:dyDescent="0.2">
      <c r="A179" s="4" t="s">
        <v>10</v>
      </c>
      <c r="B179" s="4" t="s">
        <v>2</v>
      </c>
      <c r="C179" s="4" t="s">
        <v>3</v>
      </c>
      <c r="D179" s="4" t="s">
        <v>4</v>
      </c>
      <c r="E179" s="4" t="s">
        <v>5</v>
      </c>
      <c r="F179" s="4" t="s">
        <v>6</v>
      </c>
      <c r="G179" s="4" t="s">
        <v>7</v>
      </c>
      <c r="H179" s="4" t="s">
        <v>8</v>
      </c>
      <c r="I179" s="4" t="s">
        <v>9</v>
      </c>
      <c r="J179" s="17"/>
      <c r="K179" s="17"/>
      <c r="L179" s="17"/>
    </row>
    <row r="180" spans="1:12" x14ac:dyDescent="0.2">
      <c r="A180" s="18">
        <f>1/A$166</f>
        <v>0.12598815766974239</v>
      </c>
      <c r="B180" s="18">
        <v>0</v>
      </c>
      <c r="C180" s="18">
        <v>0</v>
      </c>
      <c r="D180" s="18">
        <v>0</v>
      </c>
      <c r="E180" s="18">
        <v>0</v>
      </c>
      <c r="F180" s="18">
        <v>0</v>
      </c>
      <c r="G180" s="18">
        <v>0</v>
      </c>
      <c r="H180" s="18">
        <v>0</v>
      </c>
      <c r="I180" s="18">
        <v>0</v>
      </c>
    </row>
    <row r="181" spans="1:12" x14ac:dyDescent="0.2">
      <c r="A181" s="18">
        <v>0</v>
      </c>
      <c r="B181" s="18">
        <f>1/B$166</f>
        <v>1.9748417658131499</v>
      </c>
      <c r="C181" s="18">
        <v>0</v>
      </c>
      <c r="D181" s="18">
        <v>0</v>
      </c>
      <c r="E181" s="18">
        <v>0</v>
      </c>
      <c r="F181" s="18">
        <v>0</v>
      </c>
      <c r="G181" s="18">
        <v>0</v>
      </c>
      <c r="H181" s="18">
        <v>0</v>
      </c>
      <c r="I181" s="18">
        <v>0</v>
      </c>
    </row>
    <row r="182" spans="1:12" x14ac:dyDescent="0.2">
      <c r="A182" s="18">
        <v>0</v>
      </c>
      <c r="B182" s="18">
        <v>0</v>
      </c>
      <c r="C182" s="18">
        <f>1/C$166</f>
        <v>9.8082252565777212E-2</v>
      </c>
      <c r="D182" s="18">
        <v>0</v>
      </c>
      <c r="E182" s="18">
        <v>0</v>
      </c>
      <c r="F182" s="18">
        <v>0</v>
      </c>
      <c r="G182" s="18">
        <v>0</v>
      </c>
      <c r="H182" s="18">
        <v>0</v>
      </c>
      <c r="I182" s="18">
        <v>0</v>
      </c>
    </row>
    <row r="183" spans="1:12" x14ac:dyDescent="0.2">
      <c r="A183" s="18">
        <v>0</v>
      </c>
      <c r="B183" s="18">
        <v>0</v>
      </c>
      <c r="C183" s="18">
        <v>0</v>
      </c>
      <c r="D183" s="18">
        <f>1/D$166</f>
        <v>7.8117420614970526E-2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</row>
    <row r="184" spans="1:12" x14ac:dyDescent="0.2">
      <c r="A184" s="18">
        <v>0</v>
      </c>
      <c r="B184" s="18">
        <v>0</v>
      </c>
      <c r="C184" s="18">
        <v>0</v>
      </c>
      <c r="D184" s="18">
        <v>0</v>
      </c>
      <c r="E184" s="18">
        <f>1/E$166</f>
        <v>0.349181786615814</v>
      </c>
      <c r="F184" s="18">
        <v>0</v>
      </c>
      <c r="G184" s="18">
        <v>0</v>
      </c>
      <c r="H184" s="18">
        <v>0</v>
      </c>
      <c r="I184" s="18">
        <v>0</v>
      </c>
    </row>
    <row r="185" spans="1:12" x14ac:dyDescent="0.2">
      <c r="A185" s="18">
        <v>0</v>
      </c>
      <c r="B185" s="18">
        <v>0</v>
      </c>
      <c r="C185" s="18">
        <v>0</v>
      </c>
      <c r="D185" s="18">
        <v>0</v>
      </c>
      <c r="E185" s="18">
        <v>0</v>
      </c>
      <c r="F185" s="18">
        <f>1/F$166</f>
        <v>0.20171994047297159</v>
      </c>
      <c r="G185" s="18">
        <v>0</v>
      </c>
      <c r="H185" s="18">
        <v>0</v>
      </c>
      <c r="I185" s="18">
        <v>0</v>
      </c>
    </row>
    <row r="186" spans="1:12" x14ac:dyDescent="0.2">
      <c r="A186" s="18">
        <v>0</v>
      </c>
      <c r="B186" s="18">
        <v>0</v>
      </c>
      <c r="C186" s="18">
        <v>0</v>
      </c>
      <c r="D186" s="18">
        <v>0</v>
      </c>
      <c r="E186" s="18">
        <v>0</v>
      </c>
      <c r="F186" s="18">
        <v>0</v>
      </c>
      <c r="G186" s="18">
        <f>1/G$166</f>
        <v>0.24868609005286363</v>
      </c>
      <c r="H186" s="18">
        <v>0</v>
      </c>
      <c r="I186" s="18">
        <v>0</v>
      </c>
    </row>
    <row r="187" spans="1:12" x14ac:dyDescent="0.2">
      <c r="A187" s="18">
        <v>0</v>
      </c>
      <c r="B187" s="18">
        <v>0</v>
      </c>
      <c r="C187" s="18">
        <v>0</v>
      </c>
      <c r="D187" s="18">
        <v>0</v>
      </c>
      <c r="E187" s="18">
        <v>0</v>
      </c>
      <c r="F187" s="18">
        <v>0</v>
      </c>
      <c r="G187" s="18">
        <v>0</v>
      </c>
      <c r="H187" s="18">
        <f>1/H$166</f>
        <v>0.54298628280826189</v>
      </c>
      <c r="I187" s="18">
        <v>0</v>
      </c>
    </row>
    <row r="188" spans="1:12" x14ac:dyDescent="0.2">
      <c r="A188" s="18">
        <v>0</v>
      </c>
      <c r="B188" s="18">
        <v>0</v>
      </c>
      <c r="C188" s="18">
        <v>0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18">
        <f>1/I$166</f>
        <v>0.31682632984950659</v>
      </c>
    </row>
    <row r="189" spans="1:12" x14ac:dyDescent="0.2">
      <c r="A189" s="20"/>
      <c r="B189" s="20"/>
      <c r="C189" s="20"/>
      <c r="D189" s="20"/>
      <c r="E189" s="20"/>
      <c r="F189" s="20"/>
      <c r="G189" s="20"/>
      <c r="H189" s="20"/>
      <c r="I189" s="20"/>
    </row>
    <row r="190" spans="1:12" x14ac:dyDescent="0.2">
      <c r="A190" s="4" t="s">
        <v>10</v>
      </c>
      <c r="B190" s="4" t="s">
        <v>2</v>
      </c>
      <c r="C190" s="4" t="s">
        <v>3</v>
      </c>
      <c r="D190" s="4" t="s">
        <v>4</v>
      </c>
      <c r="E190" s="4" t="s">
        <v>5</v>
      </c>
      <c r="F190" s="4" t="s">
        <v>6</v>
      </c>
      <c r="G190" s="4" t="s">
        <v>7</v>
      </c>
      <c r="H190" s="4" t="s">
        <v>8</v>
      </c>
      <c r="I190" s="4" t="s">
        <v>9</v>
      </c>
      <c r="J190" s="17"/>
      <c r="K190" s="17"/>
      <c r="L190" s="17"/>
    </row>
    <row r="191" spans="1:12" x14ac:dyDescent="0.2">
      <c r="A191" s="7">
        <f t="array" ref="A191:I199">MMULT(A180:I188,A155:I163)</f>
        <v>7.9372539331937704</v>
      </c>
      <c r="B191" s="7">
        <v>8.7222570694437035E-2</v>
      </c>
      <c r="C191" s="7">
        <v>1.4585552099458639</v>
      </c>
      <c r="D191" s="7">
        <v>3.4549829391740876</v>
      </c>
      <c r="E191" s="7">
        <v>0.59844374893127628</v>
      </c>
      <c r="F191" s="7">
        <v>0.58148380462958016</v>
      </c>
      <c r="G191" s="7">
        <v>0.82861442159715204</v>
      </c>
      <c r="H191" s="7">
        <v>0.4167300599845325</v>
      </c>
      <c r="I191" s="7">
        <v>0.10660536418208971</v>
      </c>
    </row>
    <row r="192" spans="1:12" x14ac:dyDescent="0.2">
      <c r="A192" s="7">
        <v>1.3671981455629498</v>
      </c>
      <c r="B192" s="7">
        <v>0.50636968354183332</v>
      </c>
      <c r="C192" s="7">
        <v>8.0259594841380579</v>
      </c>
      <c r="D192" s="7">
        <v>9.4437945980551916</v>
      </c>
      <c r="E192" s="7">
        <v>2.4474534704521935</v>
      </c>
      <c r="F192" s="7">
        <v>3.9074860579978141</v>
      </c>
      <c r="G192" s="7">
        <v>2.8694282067370547</v>
      </c>
      <c r="H192" s="7">
        <v>0.69203856750717208</v>
      </c>
      <c r="I192" s="7">
        <v>2.30820180747819</v>
      </c>
    </row>
    <row r="193" spans="1:12" x14ac:dyDescent="0.2">
      <c r="A193" s="7">
        <v>1.1354906931653439</v>
      </c>
      <c r="B193" s="7">
        <v>0.39861633414553044</v>
      </c>
      <c r="C193" s="7">
        <v>10.195524407734892</v>
      </c>
      <c r="D193" s="7">
        <v>10.628092290845499</v>
      </c>
      <c r="E193" s="7">
        <v>2.657232650174123</v>
      </c>
      <c r="F193" s="7">
        <v>4.4977419280216777</v>
      </c>
      <c r="G193" s="7">
        <v>3.3767120797859023</v>
      </c>
      <c r="H193" s="7">
        <v>1.0824675950902549</v>
      </c>
      <c r="I193" s="7">
        <v>2.6635199740565443</v>
      </c>
    </row>
    <row r="194" spans="1:12" x14ac:dyDescent="0.2">
      <c r="A194" s="7">
        <v>2.1422200345566909</v>
      </c>
      <c r="B194" s="7">
        <v>0.37356151140235905</v>
      </c>
      <c r="C194" s="7">
        <v>8.4647235774068061</v>
      </c>
      <c r="D194" s="7">
        <v>12.801241926930169</v>
      </c>
      <c r="E194" s="7">
        <v>2.4334911862086654</v>
      </c>
      <c r="F194" s="7">
        <v>4.0662788111138823</v>
      </c>
      <c r="G194" s="7">
        <v>3.375740842985393</v>
      </c>
      <c r="H194" s="7">
        <v>1.1408815596224862</v>
      </c>
      <c r="I194" s="7">
        <v>2.267742043749978</v>
      </c>
    </row>
    <row r="195" spans="1:12" x14ac:dyDescent="0.2">
      <c r="A195" s="7">
        <v>1.6586134864251163</v>
      </c>
      <c r="B195" s="7">
        <v>0.43274665862643602</v>
      </c>
      <c r="C195" s="7">
        <v>9.45999118055963</v>
      </c>
      <c r="D195" s="7">
        <v>10.877609545025541</v>
      </c>
      <c r="E195" s="7">
        <v>2.8638378011973638</v>
      </c>
      <c r="F195" s="7">
        <v>4.2235079062035279</v>
      </c>
      <c r="G195" s="7">
        <v>3.2087916032174024</v>
      </c>
      <c r="H195" s="7">
        <v>1.0088717360449069</v>
      </c>
      <c r="I195" s="7">
        <v>2.6866355056391238</v>
      </c>
    </row>
    <row r="196" spans="1:12" x14ac:dyDescent="0.2">
      <c r="A196" s="7">
        <v>0.93101510987525338</v>
      </c>
      <c r="B196" s="7">
        <v>0.39912962580763189</v>
      </c>
      <c r="C196" s="7">
        <v>9.2502385523300088</v>
      </c>
      <c r="D196" s="7">
        <v>10.500212542440302</v>
      </c>
      <c r="E196" s="7">
        <v>2.4398917586267834</v>
      </c>
      <c r="F196" s="7">
        <v>4.9573681097431699</v>
      </c>
      <c r="G196" s="7">
        <v>3.2224904165728483</v>
      </c>
      <c r="H196" s="7">
        <v>0.8746944427346518</v>
      </c>
      <c r="I196" s="7">
        <v>2.4155388170953236</v>
      </c>
    </row>
    <row r="197" spans="1:12" x14ac:dyDescent="0.2">
      <c r="A197" s="7">
        <v>1.6355892845784497</v>
      </c>
      <c r="B197" s="7">
        <v>0.36133876332467357</v>
      </c>
      <c r="C197" s="7">
        <v>8.5616031686575607</v>
      </c>
      <c r="D197" s="7">
        <v>10.746639925703235</v>
      </c>
      <c r="E197" s="7">
        <v>2.2852905511837944</v>
      </c>
      <c r="F197" s="7">
        <v>3.9727780012789724</v>
      </c>
      <c r="G197" s="7">
        <v>4.0211336299003628</v>
      </c>
      <c r="H197" s="7">
        <v>1.1546013376136692</v>
      </c>
      <c r="I197" s="7">
        <v>1.990640044913895</v>
      </c>
    </row>
    <row r="198" spans="1:12" x14ac:dyDescent="0.2">
      <c r="A198" s="7">
        <v>1.7960315508273277</v>
      </c>
      <c r="B198" s="7">
        <v>0.19027724440289517</v>
      </c>
      <c r="C198" s="7">
        <v>5.9925729715911817</v>
      </c>
      <c r="D198" s="7">
        <v>7.9301522286206625</v>
      </c>
      <c r="E198" s="7">
        <v>1.5688204104072037</v>
      </c>
      <c r="F198" s="7">
        <v>2.3544875283024918</v>
      </c>
      <c r="G198" s="7">
        <v>2.520980117155025</v>
      </c>
      <c r="H198" s="7">
        <v>1.8416671500946877</v>
      </c>
      <c r="I198" s="7">
        <v>1.7521362922099939</v>
      </c>
    </row>
    <row r="199" spans="1:12" x14ac:dyDescent="0.2">
      <c r="A199" s="7">
        <v>0.26808381756496713</v>
      </c>
      <c r="B199" s="7">
        <v>0.370307697495043</v>
      </c>
      <c r="C199" s="7">
        <v>8.603730397558504</v>
      </c>
      <c r="D199" s="7">
        <v>9.1974412763576847</v>
      </c>
      <c r="E199" s="7">
        <v>2.4376897636747108</v>
      </c>
      <c r="F199" s="7">
        <v>3.793905036036203</v>
      </c>
      <c r="G199" s="7">
        <v>2.5360774273601714</v>
      </c>
      <c r="H199" s="7">
        <v>1.0223516291903063</v>
      </c>
      <c r="I199" s="7">
        <v>3.1563033302030261</v>
      </c>
    </row>
    <row r="201" spans="1:12" x14ac:dyDescent="0.2">
      <c r="A201" s="4" t="s">
        <v>10</v>
      </c>
      <c r="B201" s="4" t="s">
        <v>2</v>
      </c>
      <c r="C201" s="4" t="s">
        <v>3</v>
      </c>
      <c r="D201" s="4" t="s">
        <v>4</v>
      </c>
      <c r="E201" s="4" t="s">
        <v>5</v>
      </c>
      <c r="F201" s="4" t="s">
        <v>6</v>
      </c>
      <c r="G201" s="4" t="s">
        <v>7</v>
      </c>
      <c r="H201" s="4" t="s">
        <v>8</v>
      </c>
      <c r="I201" s="4" t="s">
        <v>9</v>
      </c>
      <c r="J201" s="17"/>
      <c r="K201" s="17"/>
      <c r="L201" s="17"/>
    </row>
    <row r="202" spans="1:12" x14ac:dyDescent="0.2">
      <c r="A202" s="14">
        <f t="array" ref="A202:I210">MMULT(A191:I199,A180:I188)</f>
        <v>0.99999999999999967</v>
      </c>
      <c r="B202" s="7">
        <v>0.17225077552896434</v>
      </c>
      <c r="C202" s="7">
        <v>0.14305838048304043</v>
      </c>
      <c r="D202" s="7">
        <v>0.26989435547700935</v>
      </c>
      <c r="E202" s="7">
        <v>0.20896565744088869</v>
      </c>
      <c r="F202" s="7">
        <v>0.11729687845587596</v>
      </c>
      <c r="G202" s="7">
        <v>0.20606488066841086</v>
      </c>
      <c r="H202" s="7">
        <v>0.22627870620546531</v>
      </c>
      <c r="I202" s="7">
        <v>3.377538627608153E-2</v>
      </c>
    </row>
    <row r="203" spans="1:12" x14ac:dyDescent="0.2">
      <c r="A203" s="7">
        <v>0.17225077552896434</v>
      </c>
      <c r="B203" s="14">
        <v>1</v>
      </c>
      <c r="C203" s="7">
        <v>0.78720418520592395</v>
      </c>
      <c r="D203" s="7">
        <v>0.73772487481766391</v>
      </c>
      <c r="E203" s="7">
        <v>0.85460617547157125</v>
      </c>
      <c r="F203" s="7">
        <v>0.78821785501828545</v>
      </c>
      <c r="G203" s="7">
        <v>0.71358688142083815</v>
      </c>
      <c r="H203" s="7">
        <v>0.3757674493306738</v>
      </c>
      <c r="I203" s="7">
        <v>0.73129910721531233</v>
      </c>
    </row>
    <row r="204" spans="1:12" x14ac:dyDescent="0.2">
      <c r="A204" s="7">
        <v>0.14305838048304043</v>
      </c>
      <c r="B204" s="7">
        <v>0.78720418520592395</v>
      </c>
      <c r="C204" s="14">
        <v>0.99999999999999978</v>
      </c>
      <c r="D204" s="7">
        <v>0.83023915581870356</v>
      </c>
      <c r="E204" s="7">
        <v>0.92785724424167459</v>
      </c>
      <c r="F204" s="7">
        <v>0.90728423398332136</v>
      </c>
      <c r="G204" s="7">
        <v>0.83974132435622928</v>
      </c>
      <c r="H204" s="7">
        <v>0.58776505571845628</v>
      </c>
      <c r="I204" s="7">
        <v>0.84387325786118794</v>
      </c>
    </row>
    <row r="205" spans="1:12" x14ac:dyDescent="0.2">
      <c r="A205" s="7">
        <v>0.26989435547700935</v>
      </c>
      <c r="B205" s="7">
        <v>0.7377248748176638</v>
      </c>
      <c r="C205" s="7">
        <v>0.83023915581870356</v>
      </c>
      <c r="D205" s="14">
        <v>0.99999999999999978</v>
      </c>
      <c r="E205" s="7">
        <v>0.84973080011417834</v>
      </c>
      <c r="F205" s="7">
        <v>0.82024951972439808</v>
      </c>
      <c r="G205" s="7">
        <v>0.83949979127379526</v>
      </c>
      <c r="H205" s="7">
        <v>0.61948303718390618</v>
      </c>
      <c r="I205" s="7">
        <v>0.71848038876672471</v>
      </c>
    </row>
    <row r="206" spans="1:12" x14ac:dyDescent="0.2">
      <c r="A206" s="7">
        <v>0.20896565744088869</v>
      </c>
      <c r="B206" s="7">
        <v>0.85460617547157125</v>
      </c>
      <c r="C206" s="7">
        <v>0.92785724424167459</v>
      </c>
      <c r="D206" s="7">
        <v>0.84973080011417834</v>
      </c>
      <c r="E206" s="14">
        <v>0.99999999999999989</v>
      </c>
      <c r="F206" s="7">
        <v>0.85196576342650054</v>
      </c>
      <c r="G206" s="7">
        <v>0.79798183759859564</v>
      </c>
      <c r="H206" s="7">
        <v>0.54780351378534198</v>
      </c>
      <c r="I206" s="7">
        <v>0.85119686689501695</v>
      </c>
    </row>
    <row r="207" spans="1:12" x14ac:dyDescent="0.2">
      <c r="A207" s="7">
        <v>0.11729687845587596</v>
      </c>
      <c r="B207" s="7">
        <v>0.78821785501828556</v>
      </c>
      <c r="C207" s="7">
        <v>0.90728423398332125</v>
      </c>
      <c r="D207" s="7">
        <v>0.82024951972439808</v>
      </c>
      <c r="E207" s="7">
        <v>0.85196576342650066</v>
      </c>
      <c r="F207" s="14">
        <v>0.99999999999999989</v>
      </c>
      <c r="G207" s="7">
        <v>0.80138854193032538</v>
      </c>
      <c r="H207" s="7">
        <v>0.4749470840535327</v>
      </c>
      <c r="I207" s="7">
        <v>0.76530629802932992</v>
      </c>
    </row>
    <row r="208" spans="1:12" x14ac:dyDescent="0.2">
      <c r="A208" s="7">
        <v>0.20606488066841086</v>
      </c>
      <c r="B208" s="7">
        <v>0.71358688142083815</v>
      </c>
      <c r="C208" s="7">
        <v>0.83974132435622928</v>
      </c>
      <c r="D208" s="7">
        <v>0.83949979127379526</v>
      </c>
      <c r="E208" s="7">
        <v>0.79798183759859564</v>
      </c>
      <c r="F208" s="7">
        <v>0.80138854193032538</v>
      </c>
      <c r="G208" s="14">
        <v>1</v>
      </c>
      <c r="H208" s="7">
        <v>0.62693268843629324</v>
      </c>
      <c r="I208" s="7">
        <v>0.63068717948152631</v>
      </c>
    </row>
    <row r="209" spans="1:9" x14ac:dyDescent="0.2">
      <c r="A209" s="7">
        <v>0.22627870620546531</v>
      </c>
      <c r="B209" s="7">
        <v>0.3757674493306738</v>
      </c>
      <c r="C209" s="7">
        <v>0.58776505571845639</v>
      </c>
      <c r="D209" s="7">
        <v>0.61948303718390618</v>
      </c>
      <c r="E209" s="7">
        <v>0.54780351378534198</v>
      </c>
      <c r="F209" s="7">
        <v>0.47494708405353264</v>
      </c>
      <c r="G209" s="7">
        <v>0.62693268843629324</v>
      </c>
      <c r="H209" s="14">
        <v>0.99999999999999978</v>
      </c>
      <c r="I209" s="7">
        <v>0.55512291085701504</v>
      </c>
    </row>
    <row r="210" spans="1:9" x14ac:dyDescent="0.2">
      <c r="A210" s="7">
        <v>3.377538627608153E-2</v>
      </c>
      <c r="B210" s="7">
        <v>0.73129910721531244</v>
      </c>
      <c r="C210" s="7">
        <v>0.84387325786118794</v>
      </c>
      <c r="D210" s="7">
        <v>0.7184803887667246</v>
      </c>
      <c r="E210" s="7">
        <v>0.85119686689501695</v>
      </c>
      <c r="F210" s="7">
        <v>0.76530629802933003</v>
      </c>
      <c r="G210" s="7">
        <v>0.63068717948152631</v>
      </c>
      <c r="H210" s="7">
        <v>0.55512291085701493</v>
      </c>
      <c r="I210" s="14">
        <v>1</v>
      </c>
    </row>
    <row r="212" spans="1:9" x14ac:dyDescent="0.2">
      <c r="A212" s="15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MEDIFIS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estudiante4.cienciasdatos</cp:lastModifiedBy>
  <cp:revision>0</cp:revision>
  <dcterms:created xsi:type="dcterms:W3CDTF">2026-08-13T00:24:56Z</dcterms:created>
  <dcterms:modified xsi:type="dcterms:W3CDTF">2026-08-14T01:55:01Z</dcterms:modified>
  <dc:language>en-US</dc:language>
</cp:coreProperties>
</file>