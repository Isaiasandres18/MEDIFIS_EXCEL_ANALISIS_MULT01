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<sst xmlns="http://schemas.openxmlformats.org/spreadsheetml/2006/main" count="9" uniqueCount="9">
  <si>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Obs.</t>
  </si>
  <si>
    <t>sexo</t>
  </si>
  <si>
    <t>est</t>
  </si>
  <si>
    <t>pes</t>
  </si>
  <si>
    <t>pie</t>
  </si>
  <si>
    <t>lbr</t>
  </si>
  <si>
    <t>aes</t>
  </si>
  <si>
    <t>dcr</t>
  </si>
  <si>
    <t>lrt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</si>
</sst>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name val="Arial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rgb="FF666699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1" xfId="0" applyFill="1" applyBorder="1">
      <alignment vertical="center"/>
    </xf>
    <xf numFmtId="16" fontId="0" fillId="0" borderId="0" xfId="0" applyNumberFormat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V107"/>
  <sheetViews>
    <sheetView tabSelected="1" zoomScale="30" zoomScaleNormal="30" topLeftCell="A36" workbookViewId="0">
      <selection activeCell="L101" sqref="L101"/>
    </sheetView>
  </sheetViews>
  <sheetFormatPr defaultColWidth="8.72727272727273" defaultRowHeight="14.5"/>
  <cols>
    <col min="3" max="10" width="12.8181818181818"/>
    <col min="12" max="12" width="14"/>
    <col min="13" max="14" width="12.8181818181818"/>
    <col min="15" max="15" width="12.3454545454545" customWidth="1"/>
    <col min="16" max="16" width="7.2" customWidth="1"/>
    <col min="17" max="18" width="12.8181818181818"/>
    <col min="19" max="19" width="11.7272727272727"/>
    <col min="22" max="22" width="14"/>
    <col min="23" max="29" width="12.8181818181818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2:12">
      <c r="B2" s="2">
        <v>1</v>
      </c>
      <c r="C2" s="2">
        <v>0</v>
      </c>
      <c r="D2" s="2">
        <v>159</v>
      </c>
      <c r="E2" s="2">
        <v>49</v>
      </c>
      <c r="F2" s="2">
        <v>36</v>
      </c>
      <c r="G2" s="2">
        <v>68</v>
      </c>
      <c r="H2" s="2">
        <v>42</v>
      </c>
      <c r="I2" s="2">
        <v>57</v>
      </c>
      <c r="J2" s="2">
        <v>40</v>
      </c>
      <c r="L2">
        <v>1</v>
      </c>
    </row>
    <row r="3" spans="2:18">
      <c r="B3" s="2">
        <v>2</v>
      </c>
      <c r="C3" s="2">
        <v>1</v>
      </c>
      <c r="D3" s="2">
        <v>164</v>
      </c>
      <c r="E3" s="2">
        <v>62</v>
      </c>
      <c r="F3" s="2">
        <v>39</v>
      </c>
      <c r="G3" s="2">
        <v>73</v>
      </c>
      <c r="H3" s="2">
        <v>44</v>
      </c>
      <c r="I3" s="2">
        <v>55</v>
      </c>
      <c r="J3" s="2">
        <v>44</v>
      </c>
      <c r="L3">
        <v>1</v>
      </c>
      <c r="N3">
        <f>1/27</f>
        <v>0.037037037037037</v>
      </c>
      <c r="P3" cm="1">
        <f t="array" ref="P3:P10">+MMULT(C36:AC43,L2:L28)</f>
        <v>12</v>
      </c>
      <c r="R3" cm="1">
        <f t="array" ref="R3:R10">+N3*_xlfn.ANCHORARRAY(P3)</f>
        <v>0.444444444444444</v>
      </c>
    </row>
    <row r="4" spans="2:18">
      <c r="B4" s="2">
        <v>3</v>
      </c>
      <c r="C4" s="2">
        <v>0</v>
      </c>
      <c r="D4" s="2">
        <v>172</v>
      </c>
      <c r="E4" s="2">
        <v>65</v>
      </c>
      <c r="F4" s="2">
        <v>38</v>
      </c>
      <c r="G4" s="2">
        <v>75</v>
      </c>
      <c r="H4" s="2">
        <v>48</v>
      </c>
      <c r="I4" s="2">
        <v>58</v>
      </c>
      <c r="J4" s="2">
        <v>44</v>
      </c>
      <c r="L4">
        <v>1</v>
      </c>
      <c r="P4">
        <v>4557</v>
      </c>
      <c r="R4">
        <v>168.777777777778</v>
      </c>
    </row>
    <row r="5" spans="2:18">
      <c r="B5" s="2">
        <v>4</v>
      </c>
      <c r="C5" s="2">
        <v>0</v>
      </c>
      <c r="D5" s="2">
        <v>167</v>
      </c>
      <c r="E5" s="2">
        <v>52</v>
      </c>
      <c r="F5" s="2">
        <v>37</v>
      </c>
      <c r="G5" s="2">
        <v>73</v>
      </c>
      <c r="H5" s="2">
        <v>41.5</v>
      </c>
      <c r="I5" s="2">
        <v>58</v>
      </c>
      <c r="J5" s="2">
        <v>44</v>
      </c>
      <c r="L5">
        <v>1</v>
      </c>
      <c r="P5">
        <v>1725</v>
      </c>
      <c r="R5">
        <v>63.8888888888889</v>
      </c>
    </row>
    <row r="6" spans="2:18">
      <c r="B6" s="2">
        <v>5</v>
      </c>
      <c r="C6" s="2">
        <v>0</v>
      </c>
      <c r="D6" s="2">
        <v>164</v>
      </c>
      <c r="E6" s="2">
        <v>51</v>
      </c>
      <c r="F6" s="2">
        <v>36</v>
      </c>
      <c r="G6" s="2">
        <v>71</v>
      </c>
      <c r="H6" s="2">
        <v>44.5</v>
      </c>
      <c r="I6" s="2">
        <v>54</v>
      </c>
      <c r="J6" s="2">
        <v>40</v>
      </c>
      <c r="L6">
        <v>1</v>
      </c>
      <c r="P6">
        <v>1052.5</v>
      </c>
      <c r="R6">
        <v>38.9814814814815</v>
      </c>
    </row>
    <row r="7" spans="2:18">
      <c r="B7" s="2">
        <v>6</v>
      </c>
      <c r="C7" s="2">
        <v>0</v>
      </c>
      <c r="D7" s="2">
        <v>161</v>
      </c>
      <c r="E7" s="2">
        <v>67</v>
      </c>
      <c r="F7" s="2">
        <v>38</v>
      </c>
      <c r="G7" s="2">
        <v>71</v>
      </c>
      <c r="H7" s="2">
        <v>44</v>
      </c>
      <c r="I7" s="2">
        <v>56</v>
      </c>
      <c r="J7" s="2">
        <v>42</v>
      </c>
      <c r="L7">
        <v>1</v>
      </c>
      <c r="P7">
        <v>1983.5</v>
      </c>
      <c r="R7">
        <v>73.462962962963</v>
      </c>
    </row>
    <row r="8" spans="2:18">
      <c r="B8" s="2">
        <v>7</v>
      </c>
      <c r="C8" s="2">
        <v>0</v>
      </c>
      <c r="D8" s="2">
        <v>168</v>
      </c>
      <c r="E8" s="2">
        <v>48</v>
      </c>
      <c r="F8" s="2">
        <v>39</v>
      </c>
      <c r="G8" s="2">
        <v>72.5</v>
      </c>
      <c r="H8" s="2">
        <v>41</v>
      </c>
      <c r="I8" s="2">
        <v>54.5</v>
      </c>
      <c r="J8" s="2">
        <v>43</v>
      </c>
      <c r="L8">
        <v>1</v>
      </c>
      <c r="P8">
        <v>1238</v>
      </c>
      <c r="R8">
        <v>45.8518518518518</v>
      </c>
    </row>
    <row r="9" spans="2:18">
      <c r="B9" s="2">
        <v>8</v>
      </c>
      <c r="C9" s="2">
        <v>1</v>
      </c>
      <c r="D9" s="2">
        <v>181</v>
      </c>
      <c r="E9" s="2">
        <v>74</v>
      </c>
      <c r="F9" s="2">
        <v>43</v>
      </c>
      <c r="G9" s="2">
        <v>74</v>
      </c>
      <c r="H9" s="2">
        <v>50</v>
      </c>
      <c r="I9" s="2">
        <v>60</v>
      </c>
      <c r="J9" s="2">
        <v>47</v>
      </c>
      <c r="L9">
        <v>1</v>
      </c>
      <c r="P9">
        <v>1545.5</v>
      </c>
      <c r="R9">
        <v>57.2407407407407</v>
      </c>
    </row>
    <row r="10" spans="2:18">
      <c r="B10" s="2">
        <v>9</v>
      </c>
      <c r="C10" s="2">
        <v>1</v>
      </c>
      <c r="D10" s="2">
        <v>183</v>
      </c>
      <c r="E10" s="2">
        <v>74</v>
      </c>
      <c r="F10" s="2">
        <v>41</v>
      </c>
      <c r="G10" s="2">
        <v>79</v>
      </c>
      <c r="H10" s="2">
        <v>47.5</v>
      </c>
      <c r="I10" s="2">
        <v>59.5</v>
      </c>
      <c r="J10" s="2">
        <v>47</v>
      </c>
      <c r="L10">
        <v>1</v>
      </c>
      <c r="P10">
        <v>1163.5</v>
      </c>
      <c r="R10">
        <v>43.0925925925926</v>
      </c>
    </row>
    <row r="11" spans="2:12">
      <c r="B11" s="2">
        <v>10</v>
      </c>
      <c r="C11" s="2">
        <v>0</v>
      </c>
      <c r="D11" s="2">
        <v>158</v>
      </c>
      <c r="E11" s="2">
        <v>50</v>
      </c>
      <c r="F11" s="2">
        <v>36</v>
      </c>
      <c r="G11" s="2">
        <v>68.5</v>
      </c>
      <c r="H11" s="2">
        <v>44</v>
      </c>
      <c r="I11" s="2">
        <v>57</v>
      </c>
      <c r="J11" s="2">
        <v>41</v>
      </c>
      <c r="L11">
        <v>1</v>
      </c>
    </row>
    <row r="12" spans="2:12">
      <c r="B12" s="2">
        <v>11</v>
      </c>
      <c r="C12" s="2">
        <v>0</v>
      </c>
      <c r="D12" s="2">
        <v>156</v>
      </c>
      <c r="E12" s="2">
        <v>65</v>
      </c>
      <c r="F12" s="2">
        <v>36</v>
      </c>
      <c r="G12" s="2">
        <v>68</v>
      </c>
      <c r="H12" s="2">
        <v>46</v>
      </c>
      <c r="I12" s="2">
        <v>58</v>
      </c>
      <c r="J12" s="2">
        <v>41</v>
      </c>
      <c r="L12">
        <v>1</v>
      </c>
    </row>
    <row r="13" spans="2:12">
      <c r="B13" s="2">
        <v>12</v>
      </c>
      <c r="C13" s="2">
        <v>1</v>
      </c>
      <c r="D13" s="2">
        <v>173</v>
      </c>
      <c r="E13" s="2">
        <v>64</v>
      </c>
      <c r="F13" s="2">
        <v>40</v>
      </c>
      <c r="G13" s="2">
        <v>79</v>
      </c>
      <c r="H13" s="2">
        <v>48</v>
      </c>
      <c r="I13" s="2">
        <v>56.5</v>
      </c>
      <c r="J13" s="2">
        <v>47</v>
      </c>
      <c r="L13">
        <v>1</v>
      </c>
    </row>
    <row r="14" spans="2:23">
      <c r="B14" s="2">
        <v>13</v>
      </c>
      <c r="C14" s="2">
        <v>0</v>
      </c>
      <c r="D14" s="2">
        <v>158</v>
      </c>
      <c r="E14" s="2">
        <v>43</v>
      </c>
      <c r="F14" s="2">
        <v>36</v>
      </c>
      <c r="G14" s="2">
        <v>68</v>
      </c>
      <c r="H14" s="2">
        <v>43</v>
      </c>
      <c r="I14" s="2">
        <v>55</v>
      </c>
      <c r="J14" s="2">
        <v>39</v>
      </c>
      <c r="L14">
        <v>1</v>
      </c>
      <c r="P14" s="6" cm="1">
        <f t="array" ref="P14:W14">TRANSPOSE(_xlfn.ANCHORARRAY(R3))</f>
        <v>0.444444444444444</v>
      </c>
      <c r="Q14" s="6">
        <v>168.777777777778</v>
      </c>
      <c r="R14" s="6">
        <v>63.8888888888889</v>
      </c>
      <c r="S14" s="6">
        <v>38.9814814814815</v>
      </c>
      <c r="T14" s="6">
        <v>73.462962962963</v>
      </c>
      <c r="U14" s="6">
        <v>45.8518518518518</v>
      </c>
      <c r="V14" s="6">
        <v>57.2407407407407</v>
      </c>
      <c r="W14" s="6">
        <v>43.0925925925926</v>
      </c>
    </row>
    <row r="15" spans="2:12">
      <c r="B15" s="2">
        <v>14</v>
      </c>
      <c r="C15" s="2">
        <v>1</v>
      </c>
      <c r="D15" s="2">
        <v>178</v>
      </c>
      <c r="E15" s="2">
        <v>74</v>
      </c>
      <c r="F15" s="2">
        <v>42</v>
      </c>
      <c r="G15" s="2">
        <v>75</v>
      </c>
      <c r="H15" s="2">
        <v>50</v>
      </c>
      <c r="I15" s="2">
        <v>59</v>
      </c>
      <c r="J15" s="2">
        <v>45</v>
      </c>
      <c r="L15">
        <v>1</v>
      </c>
    </row>
    <row r="16" spans="2:12">
      <c r="B16" s="2">
        <v>15</v>
      </c>
      <c r="C16" s="2">
        <v>1</v>
      </c>
      <c r="D16" s="2">
        <v>181</v>
      </c>
      <c r="E16" s="2">
        <v>76</v>
      </c>
      <c r="F16" s="2">
        <v>43</v>
      </c>
      <c r="G16" s="2">
        <v>83</v>
      </c>
      <c r="H16" s="2">
        <v>51</v>
      </c>
      <c r="I16" s="2">
        <v>57</v>
      </c>
      <c r="J16" s="2">
        <v>43</v>
      </c>
      <c r="L16">
        <v>1</v>
      </c>
    </row>
    <row r="17" spans="2:12">
      <c r="B17" s="2">
        <v>16</v>
      </c>
      <c r="C17" s="2">
        <v>1</v>
      </c>
      <c r="D17" s="2">
        <v>182</v>
      </c>
      <c r="E17" s="2">
        <v>91</v>
      </c>
      <c r="F17" s="2">
        <v>41</v>
      </c>
      <c r="G17" s="2">
        <v>83</v>
      </c>
      <c r="H17" s="2">
        <v>53</v>
      </c>
      <c r="I17" s="2">
        <v>59</v>
      </c>
      <c r="J17" s="2">
        <v>43</v>
      </c>
      <c r="L17">
        <v>1</v>
      </c>
    </row>
    <row r="18" spans="2:12">
      <c r="B18" s="2">
        <v>17</v>
      </c>
      <c r="C18" s="2">
        <v>1</v>
      </c>
      <c r="D18" s="2">
        <v>176</v>
      </c>
      <c r="E18" s="2">
        <v>73</v>
      </c>
      <c r="F18" s="2">
        <v>42</v>
      </c>
      <c r="G18" s="2">
        <v>78</v>
      </c>
      <c r="H18" s="2">
        <v>48</v>
      </c>
      <c r="I18" s="2">
        <v>58</v>
      </c>
      <c r="J18" s="2">
        <v>45</v>
      </c>
      <c r="L18">
        <v>1</v>
      </c>
    </row>
    <row r="19" spans="2:12">
      <c r="B19" s="2">
        <v>18</v>
      </c>
      <c r="C19" s="2">
        <v>0</v>
      </c>
      <c r="D19" s="2">
        <v>162</v>
      </c>
      <c r="E19" s="2">
        <v>68</v>
      </c>
      <c r="F19" s="2">
        <v>39</v>
      </c>
      <c r="G19" s="2">
        <v>72</v>
      </c>
      <c r="H19" s="2">
        <v>44</v>
      </c>
      <c r="I19" s="2">
        <v>59</v>
      </c>
      <c r="J19" s="2">
        <v>42</v>
      </c>
      <c r="L19">
        <v>1</v>
      </c>
    </row>
    <row r="20" spans="2:12">
      <c r="B20" s="2">
        <v>19</v>
      </c>
      <c r="C20" s="2">
        <v>0</v>
      </c>
      <c r="D20" s="2">
        <v>156</v>
      </c>
      <c r="E20" s="2">
        <v>52</v>
      </c>
      <c r="F20" s="2">
        <v>36</v>
      </c>
      <c r="G20" s="2">
        <v>67</v>
      </c>
      <c r="H20" s="2">
        <v>36</v>
      </c>
      <c r="I20" s="2">
        <v>56</v>
      </c>
      <c r="J20" s="2">
        <v>41</v>
      </c>
      <c r="L20">
        <v>1</v>
      </c>
    </row>
    <row r="21" spans="2:12">
      <c r="B21" s="2">
        <v>20</v>
      </c>
      <c r="C21" s="2">
        <v>0</v>
      </c>
      <c r="D21" s="2">
        <v>152</v>
      </c>
      <c r="E21" s="2">
        <v>45</v>
      </c>
      <c r="F21" s="2">
        <v>34</v>
      </c>
      <c r="G21" s="2">
        <v>66</v>
      </c>
      <c r="H21" s="2">
        <v>40</v>
      </c>
      <c r="I21" s="2">
        <v>55</v>
      </c>
      <c r="J21" s="2">
        <v>38</v>
      </c>
      <c r="L21">
        <v>1</v>
      </c>
    </row>
    <row r="22" spans="2:12">
      <c r="B22" s="2">
        <v>21</v>
      </c>
      <c r="C22" s="2">
        <v>1</v>
      </c>
      <c r="D22" s="2">
        <v>181</v>
      </c>
      <c r="E22" s="2">
        <v>80</v>
      </c>
      <c r="F22" s="2">
        <v>43</v>
      </c>
      <c r="G22" s="2">
        <v>76</v>
      </c>
      <c r="H22" s="2">
        <v>49</v>
      </c>
      <c r="I22" s="2">
        <v>57</v>
      </c>
      <c r="J22" s="2">
        <v>46</v>
      </c>
      <c r="L22">
        <v>1</v>
      </c>
    </row>
    <row r="23" spans="2:12">
      <c r="B23" s="2">
        <v>22</v>
      </c>
      <c r="C23" s="2">
        <v>1</v>
      </c>
      <c r="D23" s="2">
        <v>173</v>
      </c>
      <c r="E23" s="2">
        <v>69</v>
      </c>
      <c r="F23" s="2">
        <v>41</v>
      </c>
      <c r="G23" s="2">
        <v>74</v>
      </c>
      <c r="H23" s="2">
        <v>48</v>
      </c>
      <c r="I23" s="2">
        <v>56</v>
      </c>
      <c r="J23" s="2">
        <v>44</v>
      </c>
      <c r="L23">
        <v>1</v>
      </c>
    </row>
    <row r="24" spans="2:12">
      <c r="B24" s="2">
        <v>23</v>
      </c>
      <c r="C24" s="2">
        <v>0</v>
      </c>
      <c r="D24" s="2">
        <v>155</v>
      </c>
      <c r="E24" s="2">
        <v>53</v>
      </c>
      <c r="F24" s="2">
        <v>36</v>
      </c>
      <c r="G24" s="2">
        <v>67</v>
      </c>
      <c r="H24" s="2">
        <v>43</v>
      </c>
      <c r="I24" s="2">
        <v>56</v>
      </c>
      <c r="J24" s="2">
        <v>38</v>
      </c>
      <c r="L24">
        <v>1</v>
      </c>
    </row>
    <row r="25" spans="2:12">
      <c r="B25" s="2">
        <v>24</v>
      </c>
      <c r="C25" s="2">
        <v>1</v>
      </c>
      <c r="D25" s="2">
        <v>189</v>
      </c>
      <c r="E25" s="2">
        <v>87</v>
      </c>
      <c r="F25" s="2">
        <v>45</v>
      </c>
      <c r="G25" s="2">
        <v>82</v>
      </c>
      <c r="H25" s="2">
        <v>53</v>
      </c>
      <c r="I25" s="2">
        <v>61</v>
      </c>
      <c r="J25" s="2">
        <v>52</v>
      </c>
      <c r="L25">
        <v>1</v>
      </c>
    </row>
    <row r="26" spans="2:12">
      <c r="B26" s="2">
        <v>25</v>
      </c>
      <c r="C26" s="2">
        <v>0</v>
      </c>
      <c r="D26" s="2">
        <v>170</v>
      </c>
      <c r="E26" s="2">
        <v>70</v>
      </c>
      <c r="F26" s="2">
        <v>38</v>
      </c>
      <c r="G26" s="2">
        <v>73</v>
      </c>
      <c r="H26" s="2">
        <v>45</v>
      </c>
      <c r="I26" s="2">
        <v>56</v>
      </c>
      <c r="J26" s="2">
        <v>43</v>
      </c>
      <c r="L26">
        <v>1</v>
      </c>
    </row>
    <row r="27" spans="2:12">
      <c r="B27" s="2">
        <v>26</v>
      </c>
      <c r="C27" s="2">
        <v>1</v>
      </c>
      <c r="D27" s="2">
        <v>170</v>
      </c>
      <c r="E27" s="2">
        <v>67</v>
      </c>
      <c r="F27" s="2">
        <v>40</v>
      </c>
      <c r="G27" s="2">
        <v>77</v>
      </c>
      <c r="H27" s="2">
        <v>46.5</v>
      </c>
      <c r="I27" s="2">
        <v>58</v>
      </c>
      <c r="J27" s="2">
        <v>44.5</v>
      </c>
      <c r="L27">
        <v>1</v>
      </c>
    </row>
    <row r="28" spans="2:12">
      <c r="B28" s="2">
        <v>27</v>
      </c>
      <c r="C28" s="2">
        <v>0</v>
      </c>
      <c r="D28" s="2">
        <v>168</v>
      </c>
      <c r="E28" s="2">
        <v>56</v>
      </c>
      <c r="F28" s="2">
        <v>37.5</v>
      </c>
      <c r="G28" s="2">
        <v>70.5</v>
      </c>
      <c r="H28" s="2">
        <v>48</v>
      </c>
      <c r="I28" s="2">
        <v>60</v>
      </c>
      <c r="J28" s="2">
        <v>40</v>
      </c>
      <c r="L28">
        <v>1</v>
      </c>
    </row>
    <row r="30" spans="2:10">
      <c r="B30" s="3"/>
      <c r="C30" s="4">
        <f>+AVERAGE(C2:C28)</f>
        <v>0.444444444444444</v>
      </c>
      <c r="D30" s="4">
        <f>+AVERAGE(D2:D28)</f>
        <v>168.777777777778</v>
      </c>
      <c r="E30" s="4">
        <f>+AVERAGE(E2:E28)</f>
        <v>63.8888888888889</v>
      </c>
      <c r="F30" s="4">
        <f>+AVERAGE(F2:F28)</f>
        <v>38.9814814814815</v>
      </c>
      <c r="G30" s="4">
        <f>+AVERAGE(G2:G28)</f>
        <v>73.462962962963</v>
      </c>
      <c r="H30" s="4">
        <f>+AVERAGE(H2:H28)</f>
        <v>45.8518518518519</v>
      </c>
      <c r="I30" s="4">
        <f>+AVERAGE(I2:I28)</f>
        <v>57.2407407407407</v>
      </c>
      <c r="J30" s="4">
        <f>+AVERAGE(J2:J28)</f>
        <v>43.0925925925926</v>
      </c>
    </row>
    <row r="31" spans="2:10">
      <c r="B31" s="3"/>
      <c r="C31" s="5">
        <f t="shared" ref="C31:J31" si="0">+VAR(C2:C28)</f>
        <v>0.256410256410256</v>
      </c>
      <c r="D31" s="5">
        <f t="shared" si="0"/>
        <v>103.948717948718</v>
      </c>
      <c r="E31" s="5">
        <f t="shared" si="0"/>
        <v>163.871794871795</v>
      </c>
      <c r="F31" s="5">
        <f t="shared" si="0"/>
        <v>8.20156695156695</v>
      </c>
      <c r="G31" s="5">
        <f>+VAR(G2:G28)</f>
        <v>24.5754985754986</v>
      </c>
      <c r="H31" s="5">
        <f>+VAR(H2:H28)</f>
        <v>16.1695156695157</v>
      </c>
      <c r="I31" s="5">
        <f>+VAR(I2:I28)</f>
        <v>3.39173789173789</v>
      </c>
      <c r="J31" s="5">
        <f>+VAR(J2:J28)</f>
        <v>9.96225071225071</v>
      </c>
    </row>
    <row r="36" spans="3:29">
      <c r="C36" s="2">
        <v>0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1</v>
      </c>
      <c r="K36" s="2">
        <v>1</v>
      </c>
      <c r="L36" s="2">
        <v>0</v>
      </c>
      <c r="M36" s="2">
        <v>0</v>
      </c>
      <c r="N36" s="2">
        <v>1</v>
      </c>
      <c r="O36" s="2">
        <v>0</v>
      </c>
      <c r="P36" s="2">
        <v>1</v>
      </c>
      <c r="Q36" s="2">
        <v>1</v>
      </c>
      <c r="R36" s="2">
        <v>1</v>
      </c>
      <c r="S36" s="2">
        <v>1</v>
      </c>
      <c r="T36" s="2">
        <v>0</v>
      </c>
      <c r="U36" s="2">
        <v>0</v>
      </c>
      <c r="V36" s="2">
        <v>0</v>
      </c>
      <c r="W36" s="2">
        <v>1</v>
      </c>
      <c r="X36" s="2">
        <v>1</v>
      </c>
      <c r="Y36" s="2">
        <v>0</v>
      </c>
      <c r="Z36" s="2">
        <v>1</v>
      </c>
      <c r="AA36" s="2">
        <v>0</v>
      </c>
      <c r="AB36" s="2">
        <v>1</v>
      </c>
      <c r="AC36" s="2">
        <v>0</v>
      </c>
    </row>
    <row r="37" spans="3:29">
      <c r="C37" s="2">
        <v>159</v>
      </c>
      <c r="D37" s="2">
        <v>164</v>
      </c>
      <c r="E37" s="2">
        <v>172</v>
      </c>
      <c r="F37" s="2">
        <v>167</v>
      </c>
      <c r="G37" s="2">
        <v>164</v>
      </c>
      <c r="H37" s="2">
        <v>161</v>
      </c>
      <c r="I37" s="2">
        <v>168</v>
      </c>
      <c r="J37" s="2">
        <v>181</v>
      </c>
      <c r="K37" s="2">
        <v>183</v>
      </c>
      <c r="L37" s="2">
        <v>158</v>
      </c>
      <c r="M37" s="2">
        <v>156</v>
      </c>
      <c r="N37" s="2">
        <v>173</v>
      </c>
      <c r="O37" s="2">
        <v>158</v>
      </c>
      <c r="P37" s="2">
        <v>178</v>
      </c>
      <c r="Q37" s="2">
        <v>181</v>
      </c>
      <c r="R37" s="2">
        <v>182</v>
      </c>
      <c r="S37" s="2">
        <v>176</v>
      </c>
      <c r="T37" s="2">
        <v>162</v>
      </c>
      <c r="U37" s="2">
        <v>156</v>
      </c>
      <c r="V37" s="2">
        <v>152</v>
      </c>
      <c r="W37" s="2">
        <v>181</v>
      </c>
      <c r="X37" s="2">
        <v>173</v>
      </c>
      <c r="Y37" s="2">
        <v>155</v>
      </c>
      <c r="Z37" s="2">
        <v>189</v>
      </c>
      <c r="AA37" s="2">
        <v>170</v>
      </c>
      <c r="AB37" s="2">
        <v>170</v>
      </c>
      <c r="AC37" s="2">
        <v>168</v>
      </c>
    </row>
    <row r="38" spans="3:29">
      <c r="C38" s="2">
        <v>49</v>
      </c>
      <c r="D38" s="2">
        <v>62</v>
      </c>
      <c r="E38" s="2">
        <v>65</v>
      </c>
      <c r="F38" s="2">
        <v>52</v>
      </c>
      <c r="G38" s="2">
        <v>51</v>
      </c>
      <c r="H38" s="2">
        <v>67</v>
      </c>
      <c r="I38" s="2">
        <v>48</v>
      </c>
      <c r="J38" s="2">
        <v>74</v>
      </c>
      <c r="K38" s="2">
        <v>74</v>
      </c>
      <c r="L38" s="2">
        <v>50</v>
      </c>
      <c r="M38" s="2">
        <v>65</v>
      </c>
      <c r="N38" s="2">
        <v>64</v>
      </c>
      <c r="O38" s="2">
        <v>43</v>
      </c>
      <c r="P38" s="2">
        <v>74</v>
      </c>
      <c r="Q38" s="2">
        <v>76</v>
      </c>
      <c r="R38" s="2">
        <v>91</v>
      </c>
      <c r="S38" s="2">
        <v>73</v>
      </c>
      <c r="T38" s="2">
        <v>68</v>
      </c>
      <c r="U38" s="2">
        <v>52</v>
      </c>
      <c r="V38" s="2">
        <v>45</v>
      </c>
      <c r="W38" s="2">
        <v>80</v>
      </c>
      <c r="X38" s="2">
        <v>69</v>
      </c>
      <c r="Y38" s="2">
        <v>53</v>
      </c>
      <c r="Z38" s="2">
        <v>87</v>
      </c>
      <c r="AA38" s="2">
        <v>70</v>
      </c>
      <c r="AB38" s="2">
        <v>67</v>
      </c>
      <c r="AC38" s="2">
        <v>56</v>
      </c>
    </row>
    <row r="39" spans="3:29">
      <c r="C39" s="2">
        <v>36</v>
      </c>
      <c r="D39" s="2">
        <v>39</v>
      </c>
      <c r="E39" s="2">
        <v>38</v>
      </c>
      <c r="F39" s="2">
        <v>37</v>
      </c>
      <c r="G39" s="2">
        <v>36</v>
      </c>
      <c r="H39" s="2">
        <v>38</v>
      </c>
      <c r="I39" s="2">
        <v>39</v>
      </c>
      <c r="J39" s="2">
        <v>43</v>
      </c>
      <c r="K39" s="2">
        <v>41</v>
      </c>
      <c r="L39" s="2">
        <v>36</v>
      </c>
      <c r="M39" s="2">
        <v>36</v>
      </c>
      <c r="N39" s="2">
        <v>40</v>
      </c>
      <c r="O39" s="2">
        <v>36</v>
      </c>
      <c r="P39" s="2">
        <v>42</v>
      </c>
      <c r="Q39" s="2">
        <v>43</v>
      </c>
      <c r="R39" s="2">
        <v>41</v>
      </c>
      <c r="S39" s="2">
        <v>42</v>
      </c>
      <c r="T39" s="2">
        <v>39</v>
      </c>
      <c r="U39" s="2">
        <v>36</v>
      </c>
      <c r="V39" s="2">
        <v>34</v>
      </c>
      <c r="W39" s="2">
        <v>43</v>
      </c>
      <c r="X39" s="2">
        <v>41</v>
      </c>
      <c r="Y39" s="2">
        <v>36</v>
      </c>
      <c r="Z39" s="2">
        <v>45</v>
      </c>
      <c r="AA39" s="2">
        <v>38</v>
      </c>
      <c r="AB39" s="2">
        <v>40</v>
      </c>
      <c r="AC39" s="2">
        <v>37.5</v>
      </c>
    </row>
    <row r="40" spans="3:29">
      <c r="C40" s="2">
        <v>68</v>
      </c>
      <c r="D40" s="2">
        <v>73</v>
      </c>
      <c r="E40" s="2">
        <v>75</v>
      </c>
      <c r="F40" s="2">
        <v>73</v>
      </c>
      <c r="G40" s="2">
        <v>71</v>
      </c>
      <c r="H40" s="2">
        <v>71</v>
      </c>
      <c r="I40" s="2">
        <v>72.5</v>
      </c>
      <c r="J40" s="2">
        <v>74</v>
      </c>
      <c r="K40" s="2">
        <v>79</v>
      </c>
      <c r="L40" s="2">
        <v>68.5</v>
      </c>
      <c r="M40" s="2">
        <v>68</v>
      </c>
      <c r="N40" s="2">
        <v>79</v>
      </c>
      <c r="O40" s="2">
        <v>68</v>
      </c>
      <c r="P40" s="2">
        <v>75</v>
      </c>
      <c r="Q40" s="2">
        <v>83</v>
      </c>
      <c r="R40" s="2">
        <v>83</v>
      </c>
      <c r="S40" s="2">
        <v>78</v>
      </c>
      <c r="T40" s="2">
        <v>72</v>
      </c>
      <c r="U40" s="2">
        <v>67</v>
      </c>
      <c r="V40" s="2">
        <v>66</v>
      </c>
      <c r="W40" s="2">
        <v>76</v>
      </c>
      <c r="X40" s="2">
        <v>74</v>
      </c>
      <c r="Y40" s="2">
        <v>67</v>
      </c>
      <c r="Z40" s="2">
        <v>82</v>
      </c>
      <c r="AA40" s="2">
        <v>73</v>
      </c>
      <c r="AB40" s="2">
        <v>77</v>
      </c>
      <c r="AC40" s="2">
        <v>70.5</v>
      </c>
    </row>
    <row r="41" spans="3:29">
      <c r="C41" s="2">
        <v>42</v>
      </c>
      <c r="D41" s="2">
        <v>44</v>
      </c>
      <c r="E41" s="2">
        <v>48</v>
      </c>
      <c r="F41" s="2">
        <v>41.5</v>
      </c>
      <c r="G41" s="2">
        <v>44.5</v>
      </c>
      <c r="H41" s="2">
        <v>44</v>
      </c>
      <c r="I41" s="2">
        <v>41</v>
      </c>
      <c r="J41" s="2">
        <v>50</v>
      </c>
      <c r="K41" s="2">
        <v>47.5</v>
      </c>
      <c r="L41" s="2">
        <v>44</v>
      </c>
      <c r="M41" s="2">
        <v>46</v>
      </c>
      <c r="N41" s="2">
        <v>48</v>
      </c>
      <c r="O41" s="2">
        <v>43</v>
      </c>
      <c r="P41" s="2">
        <v>50</v>
      </c>
      <c r="Q41" s="2">
        <v>51</v>
      </c>
      <c r="R41" s="2">
        <v>53</v>
      </c>
      <c r="S41" s="2">
        <v>48</v>
      </c>
      <c r="T41" s="2">
        <v>44</v>
      </c>
      <c r="U41" s="2">
        <v>36</v>
      </c>
      <c r="V41" s="2">
        <v>40</v>
      </c>
      <c r="W41" s="2">
        <v>49</v>
      </c>
      <c r="X41" s="2">
        <v>48</v>
      </c>
      <c r="Y41" s="2">
        <v>43</v>
      </c>
      <c r="Z41" s="2">
        <v>53</v>
      </c>
      <c r="AA41" s="2">
        <v>45</v>
      </c>
      <c r="AB41" s="2">
        <v>46.5</v>
      </c>
      <c r="AC41" s="2">
        <v>48</v>
      </c>
    </row>
    <row r="42" spans="3:29">
      <c r="C42" s="2">
        <v>57</v>
      </c>
      <c r="D42" s="2">
        <v>55</v>
      </c>
      <c r="E42" s="2">
        <v>58</v>
      </c>
      <c r="F42" s="2">
        <v>58</v>
      </c>
      <c r="G42" s="2">
        <v>54</v>
      </c>
      <c r="H42" s="2">
        <v>56</v>
      </c>
      <c r="I42" s="2">
        <v>54.5</v>
      </c>
      <c r="J42" s="2">
        <v>60</v>
      </c>
      <c r="K42" s="2">
        <v>59.5</v>
      </c>
      <c r="L42" s="2">
        <v>57</v>
      </c>
      <c r="M42" s="2">
        <v>58</v>
      </c>
      <c r="N42" s="2">
        <v>56.5</v>
      </c>
      <c r="O42" s="2">
        <v>55</v>
      </c>
      <c r="P42" s="2">
        <v>59</v>
      </c>
      <c r="Q42" s="2">
        <v>57</v>
      </c>
      <c r="R42" s="2">
        <v>59</v>
      </c>
      <c r="S42" s="2">
        <v>58</v>
      </c>
      <c r="T42" s="2">
        <v>59</v>
      </c>
      <c r="U42" s="2">
        <v>56</v>
      </c>
      <c r="V42" s="2">
        <v>55</v>
      </c>
      <c r="W42" s="2">
        <v>57</v>
      </c>
      <c r="X42" s="2">
        <v>56</v>
      </c>
      <c r="Y42" s="2">
        <v>56</v>
      </c>
      <c r="Z42" s="2">
        <v>61</v>
      </c>
      <c r="AA42" s="2">
        <v>56</v>
      </c>
      <c r="AB42" s="2">
        <v>58</v>
      </c>
      <c r="AC42" s="2">
        <v>60</v>
      </c>
    </row>
    <row r="43" spans="3:29">
      <c r="C43" s="2">
        <v>40</v>
      </c>
      <c r="D43" s="2">
        <v>44</v>
      </c>
      <c r="E43" s="2">
        <v>44</v>
      </c>
      <c r="F43" s="2">
        <v>44</v>
      </c>
      <c r="G43" s="2">
        <v>40</v>
      </c>
      <c r="H43" s="2">
        <v>42</v>
      </c>
      <c r="I43" s="2">
        <v>43</v>
      </c>
      <c r="J43" s="2">
        <v>47</v>
      </c>
      <c r="K43" s="2">
        <v>47</v>
      </c>
      <c r="L43" s="2">
        <v>41</v>
      </c>
      <c r="M43" s="2">
        <v>41</v>
      </c>
      <c r="N43" s="2">
        <v>47</v>
      </c>
      <c r="O43" s="2">
        <v>39</v>
      </c>
      <c r="P43" s="2">
        <v>45</v>
      </c>
      <c r="Q43" s="2">
        <v>43</v>
      </c>
      <c r="R43" s="2">
        <v>43</v>
      </c>
      <c r="S43" s="2">
        <v>45</v>
      </c>
      <c r="T43" s="2">
        <v>42</v>
      </c>
      <c r="U43" s="2">
        <v>41</v>
      </c>
      <c r="V43" s="2">
        <v>38</v>
      </c>
      <c r="W43" s="2">
        <v>46</v>
      </c>
      <c r="X43" s="2">
        <v>44</v>
      </c>
      <c r="Y43" s="2">
        <v>38</v>
      </c>
      <c r="Z43" s="2">
        <v>52</v>
      </c>
      <c r="AA43" s="2">
        <v>43</v>
      </c>
      <c r="AB43" s="2">
        <v>44.5</v>
      </c>
      <c r="AC43" s="2">
        <v>40</v>
      </c>
    </row>
    <row r="48" spans="3:48">
      <c r="C48" cm="1">
        <f t="array" ref="C48:J74">+MMULT(L2:L28,_xlfn.ANCHORARRAY(P14))</f>
        <v>0.444444444444444</v>
      </c>
      <c r="D48">
        <v>168.777777777778</v>
      </c>
      <c r="E48">
        <v>63.8888888888889</v>
      </c>
      <c r="F48">
        <v>38.9814814814815</v>
      </c>
      <c r="G48">
        <v>73.462962962963</v>
      </c>
      <c r="H48">
        <v>45.8518518518518</v>
      </c>
      <c r="I48">
        <v>57.2407407407407</v>
      </c>
      <c r="J48">
        <v>43.0925925925926</v>
      </c>
      <c r="L48" cm="1">
        <f t="array" ref="L48:S74">+C2:J28-_xlfn.ANCHORARRAY(C48)</f>
        <v>-0.444444444444444</v>
      </c>
      <c r="M48">
        <v>-9.77777777777777</v>
      </c>
      <c r="N48">
        <v>-14.8888888888889</v>
      </c>
      <c r="O48">
        <v>-2.98148148148148</v>
      </c>
      <c r="P48">
        <v>-5.46296296296296</v>
      </c>
      <c r="Q48">
        <v>-3.85185185185185</v>
      </c>
      <c r="R48">
        <v>-0.24074074074074</v>
      </c>
      <c r="S48">
        <v>-3.09259259259259</v>
      </c>
      <c r="V48" cm="1">
        <f t="array" ref="V48:AV55">TRANSPOSE(_xlfn.ANCHORARRAY(L48))</f>
        <v>-0.444444444444444</v>
      </c>
      <c r="W48">
        <v>0.555555555555556</v>
      </c>
      <c r="X48">
        <v>-0.444444444444444</v>
      </c>
      <c r="Y48">
        <v>-0.444444444444444</v>
      </c>
      <c r="Z48">
        <v>-0.444444444444444</v>
      </c>
      <c r="AA48">
        <v>-0.444444444444444</v>
      </c>
      <c r="AB48">
        <v>-0.444444444444444</v>
      </c>
      <c r="AC48">
        <v>0.555555555555556</v>
      </c>
      <c r="AD48">
        <v>0.555555555555556</v>
      </c>
      <c r="AE48">
        <v>-0.444444444444444</v>
      </c>
      <c r="AF48">
        <v>-0.444444444444444</v>
      </c>
      <c r="AG48">
        <v>0.555555555555556</v>
      </c>
      <c r="AH48">
        <v>-0.444444444444444</v>
      </c>
      <c r="AI48">
        <v>0.555555555555556</v>
      </c>
      <c r="AJ48">
        <v>0.555555555555556</v>
      </c>
      <c r="AK48">
        <v>0.555555555555556</v>
      </c>
      <c r="AL48">
        <v>0.555555555555556</v>
      </c>
      <c r="AM48">
        <v>-0.444444444444444</v>
      </c>
      <c r="AN48">
        <v>-0.444444444444444</v>
      </c>
      <c r="AO48">
        <v>-0.444444444444444</v>
      </c>
      <c r="AP48">
        <v>0.555555555555556</v>
      </c>
      <c r="AQ48">
        <v>0.555555555555556</v>
      </c>
      <c r="AR48">
        <v>-0.444444444444444</v>
      </c>
      <c r="AS48">
        <v>0.555555555555556</v>
      </c>
      <c r="AT48">
        <v>-0.444444444444444</v>
      </c>
      <c r="AU48">
        <v>0.555555555555556</v>
      </c>
      <c r="AV48">
        <v>-0.444444444444444</v>
      </c>
    </row>
    <row r="49" spans="3:48">
      <c r="C49">
        <v>0.444444444444444</v>
      </c>
      <c r="D49">
        <v>168.777777777778</v>
      </c>
      <c r="E49">
        <v>63.8888888888889</v>
      </c>
      <c r="F49">
        <v>38.9814814814815</v>
      </c>
      <c r="G49">
        <v>73.462962962963</v>
      </c>
      <c r="H49">
        <v>45.8518518518518</v>
      </c>
      <c r="I49">
        <v>57.2407407407407</v>
      </c>
      <c r="J49">
        <v>43.0925925925926</v>
      </c>
      <c r="L49">
        <v>0.555555555555556</v>
      </c>
      <c r="M49">
        <v>-4.77777777777777</v>
      </c>
      <c r="N49">
        <v>-1.88888888888889</v>
      </c>
      <c r="O49">
        <v>0.018518518518519</v>
      </c>
      <c r="P49">
        <v>-0.462962962962962</v>
      </c>
      <c r="Q49">
        <v>-1.85185185185185</v>
      </c>
      <c r="R49">
        <v>-2.24074074074074</v>
      </c>
      <c r="S49">
        <v>0.907407407407412</v>
      </c>
      <c r="V49">
        <v>-9.77777777777777</v>
      </c>
      <c r="W49">
        <v>-4.77777777777777</v>
      </c>
      <c r="X49">
        <v>3.22222222222223</v>
      </c>
      <c r="Y49">
        <v>-1.77777777777777</v>
      </c>
      <c r="Z49">
        <v>-4.77777777777777</v>
      </c>
      <c r="AA49">
        <v>-7.77777777777777</v>
      </c>
      <c r="AB49">
        <v>-0.777777777777771</v>
      </c>
      <c r="AC49">
        <v>12.2222222222222</v>
      </c>
      <c r="AD49">
        <v>14.2222222222222</v>
      </c>
      <c r="AE49">
        <v>-10.7777777777778</v>
      </c>
      <c r="AF49">
        <v>-12.7777777777778</v>
      </c>
      <c r="AG49">
        <v>4.22222222222223</v>
      </c>
      <c r="AH49">
        <v>-10.7777777777778</v>
      </c>
      <c r="AI49">
        <v>9.22222222222223</v>
      </c>
      <c r="AJ49">
        <v>12.2222222222222</v>
      </c>
      <c r="AK49">
        <v>13.2222222222222</v>
      </c>
      <c r="AL49">
        <v>7.22222222222223</v>
      </c>
      <c r="AM49">
        <v>-6.77777777777777</v>
      </c>
      <c r="AN49">
        <v>-12.7777777777778</v>
      </c>
      <c r="AO49">
        <v>-16.7777777777778</v>
      </c>
      <c r="AP49">
        <v>12.2222222222222</v>
      </c>
      <c r="AQ49">
        <v>4.22222222222223</v>
      </c>
      <c r="AR49">
        <v>-13.7777777777778</v>
      </c>
      <c r="AS49">
        <v>20.2222222222222</v>
      </c>
      <c r="AT49">
        <v>1.22222222222223</v>
      </c>
      <c r="AU49">
        <v>1.22222222222223</v>
      </c>
      <c r="AV49">
        <v>-0.777777777777771</v>
      </c>
    </row>
    <row r="50" spans="3:48">
      <c r="C50">
        <v>0.444444444444444</v>
      </c>
      <c r="D50">
        <v>168.777777777778</v>
      </c>
      <c r="E50">
        <v>63.8888888888889</v>
      </c>
      <c r="F50">
        <v>38.9814814814815</v>
      </c>
      <c r="G50">
        <v>73.462962962963</v>
      </c>
      <c r="H50">
        <v>45.8518518518518</v>
      </c>
      <c r="I50">
        <v>57.2407407407407</v>
      </c>
      <c r="J50">
        <v>43.0925925925926</v>
      </c>
      <c r="L50">
        <v>-0.444444444444444</v>
      </c>
      <c r="M50">
        <v>3.22222222222223</v>
      </c>
      <c r="N50">
        <v>1.11111111111111</v>
      </c>
      <c r="O50">
        <v>-0.981481481481481</v>
      </c>
      <c r="P50">
        <v>1.53703703703704</v>
      </c>
      <c r="Q50">
        <v>2.14814814814815</v>
      </c>
      <c r="R50">
        <v>0.75925925925926</v>
      </c>
      <c r="S50">
        <v>0.907407407407412</v>
      </c>
      <c r="V50">
        <v>-14.8888888888889</v>
      </c>
      <c r="W50">
        <v>-1.88888888888889</v>
      </c>
      <c r="X50">
        <v>1.11111111111111</v>
      </c>
      <c r="Y50">
        <v>-11.8888888888889</v>
      </c>
      <c r="Z50">
        <v>-12.8888888888889</v>
      </c>
      <c r="AA50">
        <v>3.11111111111111</v>
      </c>
      <c r="AB50">
        <v>-15.8888888888889</v>
      </c>
      <c r="AC50">
        <v>10.1111111111111</v>
      </c>
      <c r="AD50">
        <v>10.1111111111111</v>
      </c>
      <c r="AE50">
        <v>-13.8888888888889</v>
      </c>
      <c r="AF50">
        <v>1.11111111111111</v>
      </c>
      <c r="AG50">
        <v>0.111111111111114</v>
      </c>
      <c r="AH50">
        <v>-20.8888888888889</v>
      </c>
      <c r="AI50">
        <v>10.1111111111111</v>
      </c>
      <c r="AJ50">
        <v>12.1111111111111</v>
      </c>
      <c r="AK50">
        <v>27.1111111111111</v>
      </c>
      <c r="AL50">
        <v>9.11111111111111</v>
      </c>
      <c r="AM50">
        <v>4.11111111111111</v>
      </c>
      <c r="AN50">
        <v>-11.8888888888889</v>
      </c>
      <c r="AO50">
        <v>-18.8888888888889</v>
      </c>
      <c r="AP50">
        <v>16.1111111111111</v>
      </c>
      <c r="AQ50">
        <v>5.11111111111111</v>
      </c>
      <c r="AR50">
        <v>-10.8888888888889</v>
      </c>
      <c r="AS50">
        <v>23.1111111111111</v>
      </c>
      <c r="AT50">
        <v>6.11111111111111</v>
      </c>
      <c r="AU50">
        <v>3.11111111111111</v>
      </c>
      <c r="AV50">
        <v>-7.88888888888889</v>
      </c>
    </row>
    <row r="51" spans="3:48">
      <c r="C51">
        <v>0.444444444444444</v>
      </c>
      <c r="D51">
        <v>168.777777777778</v>
      </c>
      <c r="E51">
        <v>63.8888888888889</v>
      </c>
      <c r="F51">
        <v>38.9814814814815</v>
      </c>
      <c r="G51">
        <v>73.462962962963</v>
      </c>
      <c r="H51">
        <v>45.8518518518518</v>
      </c>
      <c r="I51">
        <v>57.2407407407407</v>
      </c>
      <c r="J51">
        <v>43.0925925925926</v>
      </c>
      <c r="L51">
        <v>-0.444444444444444</v>
      </c>
      <c r="M51">
        <v>-1.77777777777777</v>
      </c>
      <c r="N51">
        <v>-11.8888888888889</v>
      </c>
      <c r="O51">
        <v>-1.98148148148148</v>
      </c>
      <c r="P51">
        <v>-0.462962962962962</v>
      </c>
      <c r="Q51">
        <v>-4.35185185185185</v>
      </c>
      <c r="R51">
        <v>0.75925925925926</v>
      </c>
      <c r="S51">
        <v>0.907407407407412</v>
      </c>
      <c r="V51">
        <v>-2.98148148148148</v>
      </c>
      <c r="W51">
        <v>0.018518518518519</v>
      </c>
      <c r="X51">
        <v>-0.981481481481481</v>
      </c>
      <c r="Y51">
        <v>-1.98148148148148</v>
      </c>
      <c r="Z51">
        <v>-2.98148148148148</v>
      </c>
      <c r="AA51">
        <v>-0.981481481481481</v>
      </c>
      <c r="AB51">
        <v>0.018518518518519</v>
      </c>
      <c r="AC51">
        <v>4.01851851851852</v>
      </c>
      <c r="AD51">
        <v>2.01851851851852</v>
      </c>
      <c r="AE51">
        <v>-2.98148148148148</v>
      </c>
      <c r="AF51">
        <v>-2.98148148148148</v>
      </c>
      <c r="AG51">
        <v>1.01851851851852</v>
      </c>
      <c r="AH51">
        <v>-2.98148148148148</v>
      </c>
      <c r="AI51">
        <v>3.01851851851852</v>
      </c>
      <c r="AJ51">
        <v>4.01851851851852</v>
      </c>
      <c r="AK51">
        <v>2.01851851851852</v>
      </c>
      <c r="AL51">
        <v>3.01851851851852</v>
      </c>
      <c r="AM51">
        <v>0.018518518518519</v>
      </c>
      <c r="AN51">
        <v>-2.98148148148148</v>
      </c>
      <c r="AO51">
        <v>-4.98148148148148</v>
      </c>
      <c r="AP51">
        <v>4.01851851851852</v>
      </c>
      <c r="AQ51">
        <v>2.01851851851852</v>
      </c>
      <c r="AR51">
        <v>-2.98148148148148</v>
      </c>
      <c r="AS51">
        <v>6.01851851851852</v>
      </c>
      <c r="AT51">
        <v>-0.981481481481481</v>
      </c>
      <c r="AU51">
        <v>1.01851851851852</v>
      </c>
      <c r="AV51">
        <v>-1.48148148148148</v>
      </c>
    </row>
    <row r="52" spans="3:48">
      <c r="C52">
        <v>0.444444444444444</v>
      </c>
      <c r="D52">
        <v>168.777777777778</v>
      </c>
      <c r="E52">
        <v>63.8888888888889</v>
      </c>
      <c r="F52">
        <v>38.9814814814815</v>
      </c>
      <c r="G52">
        <v>73.462962962963</v>
      </c>
      <c r="H52">
        <v>45.8518518518518</v>
      </c>
      <c r="I52">
        <v>57.2407407407407</v>
      </c>
      <c r="J52">
        <v>43.0925925925926</v>
      </c>
      <c r="L52">
        <v>-0.444444444444444</v>
      </c>
      <c r="M52">
        <v>-4.77777777777777</v>
      </c>
      <c r="N52">
        <v>-12.8888888888889</v>
      </c>
      <c r="O52">
        <v>-2.98148148148148</v>
      </c>
      <c r="P52">
        <v>-2.46296296296296</v>
      </c>
      <c r="Q52">
        <v>-1.35185185185185</v>
      </c>
      <c r="R52">
        <v>-3.24074074074074</v>
      </c>
      <c r="S52">
        <v>-3.09259259259259</v>
      </c>
      <c r="V52">
        <v>-5.46296296296296</v>
      </c>
      <c r="W52">
        <v>-0.462962962962962</v>
      </c>
      <c r="X52">
        <v>1.53703703703704</v>
      </c>
      <c r="Y52">
        <v>-0.462962962962962</v>
      </c>
      <c r="Z52">
        <v>-2.46296296296296</v>
      </c>
      <c r="AA52">
        <v>-2.46296296296296</v>
      </c>
      <c r="AB52">
        <v>-0.962962962962962</v>
      </c>
      <c r="AC52">
        <v>0.537037037037038</v>
      </c>
      <c r="AD52">
        <v>5.53703703703704</v>
      </c>
      <c r="AE52">
        <v>-4.96296296296296</v>
      </c>
      <c r="AF52">
        <v>-5.46296296296296</v>
      </c>
      <c r="AG52">
        <v>5.53703703703704</v>
      </c>
      <c r="AH52">
        <v>-5.46296296296296</v>
      </c>
      <c r="AI52">
        <v>1.53703703703704</v>
      </c>
      <c r="AJ52">
        <v>9.53703703703704</v>
      </c>
      <c r="AK52">
        <v>9.53703703703704</v>
      </c>
      <c r="AL52">
        <v>4.53703703703704</v>
      </c>
      <c r="AM52">
        <v>-1.46296296296296</v>
      </c>
      <c r="AN52">
        <v>-6.46296296296296</v>
      </c>
      <c r="AO52">
        <v>-7.46296296296296</v>
      </c>
      <c r="AP52">
        <v>2.53703703703704</v>
      </c>
      <c r="AQ52">
        <v>0.537037037037038</v>
      </c>
      <c r="AR52">
        <v>-6.46296296296296</v>
      </c>
      <c r="AS52">
        <v>8.53703703703704</v>
      </c>
      <c r="AT52">
        <v>-0.462962962962962</v>
      </c>
      <c r="AU52">
        <v>3.53703703703704</v>
      </c>
      <c r="AV52">
        <v>-2.96296296296296</v>
      </c>
    </row>
    <row r="53" spans="3:48">
      <c r="C53">
        <v>0.444444444444444</v>
      </c>
      <c r="D53">
        <v>168.777777777778</v>
      </c>
      <c r="E53">
        <v>63.8888888888889</v>
      </c>
      <c r="F53">
        <v>38.9814814814815</v>
      </c>
      <c r="G53">
        <v>73.462962962963</v>
      </c>
      <c r="H53">
        <v>45.8518518518518</v>
      </c>
      <c r="I53">
        <v>57.2407407407407</v>
      </c>
      <c r="J53">
        <v>43.0925925925926</v>
      </c>
      <c r="L53">
        <v>-0.444444444444444</v>
      </c>
      <c r="M53">
        <v>-7.77777777777777</v>
      </c>
      <c r="N53">
        <v>3.11111111111111</v>
      </c>
      <c r="O53">
        <v>-0.981481481481481</v>
      </c>
      <c r="P53">
        <v>-2.46296296296296</v>
      </c>
      <c r="Q53">
        <v>-1.85185185185185</v>
      </c>
      <c r="R53">
        <v>-1.24074074074074</v>
      </c>
      <c r="S53">
        <v>-1.09259259259259</v>
      </c>
      <c r="V53">
        <v>-3.85185185185185</v>
      </c>
      <c r="W53">
        <v>-1.85185185185185</v>
      </c>
      <c r="X53">
        <v>2.14814814814815</v>
      </c>
      <c r="Y53">
        <v>-4.35185185185185</v>
      </c>
      <c r="Z53">
        <v>-1.35185185185185</v>
      </c>
      <c r="AA53">
        <v>-1.85185185185185</v>
      </c>
      <c r="AB53">
        <v>-4.85185185185185</v>
      </c>
      <c r="AC53">
        <v>4.14814814814815</v>
      </c>
      <c r="AD53">
        <v>1.64814814814815</v>
      </c>
      <c r="AE53">
        <v>-1.85185185185185</v>
      </c>
      <c r="AF53">
        <v>0.148148148148152</v>
      </c>
      <c r="AG53">
        <v>2.14814814814815</v>
      </c>
      <c r="AH53">
        <v>-2.85185185185185</v>
      </c>
      <c r="AI53">
        <v>4.14814814814815</v>
      </c>
      <c r="AJ53">
        <v>5.14814814814815</v>
      </c>
      <c r="AK53">
        <v>7.14814814814815</v>
      </c>
      <c r="AL53">
        <v>2.14814814814815</v>
      </c>
      <c r="AM53">
        <v>-1.85185185185185</v>
      </c>
      <c r="AN53">
        <v>-9.85185185185185</v>
      </c>
      <c r="AO53">
        <v>-5.85185185185185</v>
      </c>
      <c r="AP53">
        <v>3.14814814814815</v>
      </c>
      <c r="AQ53">
        <v>2.14814814814815</v>
      </c>
      <c r="AR53">
        <v>-2.85185185185185</v>
      </c>
      <c r="AS53">
        <v>7.14814814814815</v>
      </c>
      <c r="AT53">
        <v>-0.851851851851848</v>
      </c>
      <c r="AU53">
        <v>0.648148148148152</v>
      </c>
      <c r="AV53">
        <v>2.14814814814815</v>
      </c>
    </row>
    <row r="54" spans="3:48">
      <c r="C54">
        <v>0.444444444444444</v>
      </c>
      <c r="D54">
        <v>168.777777777778</v>
      </c>
      <c r="E54">
        <v>63.8888888888889</v>
      </c>
      <c r="F54">
        <v>38.9814814814815</v>
      </c>
      <c r="G54">
        <v>73.462962962963</v>
      </c>
      <c r="H54">
        <v>45.8518518518518</v>
      </c>
      <c r="I54">
        <v>57.2407407407407</v>
      </c>
      <c r="J54">
        <v>43.0925925925926</v>
      </c>
      <c r="L54">
        <v>-0.444444444444444</v>
      </c>
      <c r="M54">
        <v>-0.777777777777771</v>
      </c>
      <c r="N54">
        <v>-15.8888888888889</v>
      </c>
      <c r="O54">
        <v>0.018518518518519</v>
      </c>
      <c r="P54">
        <v>-0.962962962962962</v>
      </c>
      <c r="Q54">
        <v>-4.85185185185185</v>
      </c>
      <c r="R54">
        <v>-2.74074074074074</v>
      </c>
      <c r="S54">
        <v>-0.0925925925925881</v>
      </c>
      <c r="V54">
        <v>-0.24074074074074</v>
      </c>
      <c r="W54">
        <v>-2.24074074074074</v>
      </c>
      <c r="X54">
        <v>0.75925925925926</v>
      </c>
      <c r="Y54">
        <v>0.75925925925926</v>
      </c>
      <c r="Z54">
        <v>-3.24074074074074</v>
      </c>
      <c r="AA54">
        <v>-1.24074074074074</v>
      </c>
      <c r="AB54">
        <v>-2.74074074074074</v>
      </c>
      <c r="AC54">
        <v>2.75925925925926</v>
      </c>
      <c r="AD54">
        <v>2.25925925925926</v>
      </c>
      <c r="AE54">
        <v>-0.24074074074074</v>
      </c>
      <c r="AF54">
        <v>0.75925925925926</v>
      </c>
      <c r="AG54">
        <v>-0.74074074074074</v>
      </c>
      <c r="AH54">
        <v>-2.24074074074074</v>
      </c>
      <c r="AI54">
        <v>1.75925925925926</v>
      </c>
      <c r="AJ54">
        <v>-0.24074074074074</v>
      </c>
      <c r="AK54">
        <v>1.75925925925926</v>
      </c>
      <c r="AL54">
        <v>0.75925925925926</v>
      </c>
      <c r="AM54">
        <v>1.75925925925926</v>
      </c>
      <c r="AN54">
        <v>-1.24074074074074</v>
      </c>
      <c r="AO54">
        <v>-2.24074074074074</v>
      </c>
      <c r="AP54">
        <v>-0.24074074074074</v>
      </c>
      <c r="AQ54">
        <v>-1.24074074074074</v>
      </c>
      <c r="AR54">
        <v>-1.24074074074074</v>
      </c>
      <c r="AS54">
        <v>3.75925925925926</v>
      </c>
      <c r="AT54">
        <v>-1.24074074074074</v>
      </c>
      <c r="AU54">
        <v>0.75925925925926</v>
      </c>
      <c r="AV54">
        <v>2.75925925925926</v>
      </c>
    </row>
    <row r="55" spans="3:48">
      <c r="C55">
        <v>0.444444444444444</v>
      </c>
      <c r="D55">
        <v>168.777777777778</v>
      </c>
      <c r="E55">
        <v>63.8888888888889</v>
      </c>
      <c r="F55">
        <v>38.9814814814815</v>
      </c>
      <c r="G55">
        <v>73.462962962963</v>
      </c>
      <c r="H55">
        <v>45.8518518518518</v>
      </c>
      <c r="I55">
        <v>57.2407407407407</v>
      </c>
      <c r="J55">
        <v>43.0925925925926</v>
      </c>
      <c r="L55">
        <v>0.555555555555556</v>
      </c>
      <c r="M55">
        <v>12.2222222222222</v>
      </c>
      <c r="N55">
        <v>10.1111111111111</v>
      </c>
      <c r="O55">
        <v>4.01851851851852</v>
      </c>
      <c r="P55">
        <v>0.537037037037038</v>
      </c>
      <c r="Q55">
        <v>4.14814814814815</v>
      </c>
      <c r="R55">
        <v>2.75925925925926</v>
      </c>
      <c r="S55">
        <v>3.90740740740741</v>
      </c>
      <c r="V55">
        <v>-3.09259259259259</v>
      </c>
      <c r="W55">
        <v>0.907407407407412</v>
      </c>
      <c r="X55">
        <v>0.907407407407412</v>
      </c>
      <c r="Y55">
        <v>0.907407407407412</v>
      </c>
      <c r="Z55">
        <v>-3.09259259259259</v>
      </c>
      <c r="AA55">
        <v>-1.09259259259259</v>
      </c>
      <c r="AB55">
        <v>-0.0925925925925881</v>
      </c>
      <c r="AC55">
        <v>3.90740740740741</v>
      </c>
      <c r="AD55">
        <v>3.90740740740741</v>
      </c>
      <c r="AE55">
        <v>-2.09259259259259</v>
      </c>
      <c r="AF55">
        <v>-2.09259259259259</v>
      </c>
      <c r="AG55">
        <v>3.90740740740741</v>
      </c>
      <c r="AH55">
        <v>-4.09259259259259</v>
      </c>
      <c r="AI55">
        <v>1.90740740740741</v>
      </c>
      <c r="AJ55">
        <v>-0.0925925925925881</v>
      </c>
      <c r="AK55">
        <v>-0.0925925925925881</v>
      </c>
      <c r="AL55">
        <v>1.90740740740741</v>
      </c>
      <c r="AM55">
        <v>-1.09259259259259</v>
      </c>
      <c r="AN55">
        <v>-2.09259259259259</v>
      </c>
      <c r="AO55">
        <v>-5.09259259259259</v>
      </c>
      <c r="AP55">
        <v>2.90740740740741</v>
      </c>
      <c r="AQ55">
        <v>0.907407407407412</v>
      </c>
      <c r="AR55">
        <v>-5.09259259259259</v>
      </c>
      <c r="AS55">
        <v>8.90740740740741</v>
      </c>
      <c r="AT55">
        <v>-0.0925925925925881</v>
      </c>
      <c r="AU55">
        <v>1.40740740740741</v>
      </c>
      <c r="AV55">
        <v>-3.09259259259259</v>
      </c>
    </row>
    <row r="56" spans="3:19">
      <c r="C56">
        <v>0.444444444444444</v>
      </c>
      <c r="D56">
        <v>168.777777777778</v>
      </c>
      <c r="E56">
        <v>63.8888888888889</v>
      </c>
      <c r="F56">
        <v>38.9814814814815</v>
      </c>
      <c r="G56">
        <v>73.462962962963</v>
      </c>
      <c r="H56">
        <v>45.8518518518518</v>
      </c>
      <c r="I56">
        <v>57.2407407407407</v>
      </c>
      <c r="J56">
        <v>43.0925925925926</v>
      </c>
      <c r="L56">
        <v>0.555555555555556</v>
      </c>
      <c r="M56">
        <v>14.2222222222222</v>
      </c>
      <c r="N56">
        <v>10.1111111111111</v>
      </c>
      <c r="O56">
        <v>2.01851851851852</v>
      </c>
      <c r="P56">
        <v>5.53703703703704</v>
      </c>
      <c r="Q56">
        <v>1.64814814814815</v>
      </c>
      <c r="R56">
        <v>2.25925925925926</v>
      </c>
      <c r="S56">
        <v>3.90740740740741</v>
      </c>
    </row>
    <row r="57" spans="3:19">
      <c r="C57">
        <v>0.444444444444444</v>
      </c>
      <c r="D57">
        <v>168.777777777778</v>
      </c>
      <c r="E57">
        <v>63.8888888888889</v>
      </c>
      <c r="F57">
        <v>38.9814814814815</v>
      </c>
      <c r="G57">
        <v>73.462962962963</v>
      </c>
      <c r="H57">
        <v>45.8518518518518</v>
      </c>
      <c r="I57">
        <v>57.2407407407407</v>
      </c>
      <c r="J57">
        <v>43.0925925925926</v>
      </c>
      <c r="L57">
        <v>-0.444444444444444</v>
      </c>
      <c r="M57">
        <v>-10.7777777777778</v>
      </c>
      <c r="N57">
        <v>-13.8888888888889</v>
      </c>
      <c r="O57">
        <v>-2.98148148148148</v>
      </c>
      <c r="P57">
        <v>-4.96296296296296</v>
      </c>
      <c r="Q57">
        <v>-1.85185185185185</v>
      </c>
      <c r="R57">
        <v>-0.24074074074074</v>
      </c>
      <c r="S57">
        <v>-2.09259259259259</v>
      </c>
    </row>
    <row r="58" spans="3:19">
      <c r="C58">
        <v>0.444444444444444</v>
      </c>
      <c r="D58">
        <v>168.777777777778</v>
      </c>
      <c r="E58">
        <v>63.8888888888889</v>
      </c>
      <c r="F58">
        <v>38.9814814814815</v>
      </c>
      <c r="G58">
        <v>73.462962962963</v>
      </c>
      <c r="H58">
        <v>45.8518518518518</v>
      </c>
      <c r="I58">
        <v>57.2407407407407</v>
      </c>
      <c r="J58">
        <v>43.0925925925926</v>
      </c>
      <c r="L58">
        <v>-0.444444444444444</v>
      </c>
      <c r="M58">
        <v>-12.7777777777778</v>
      </c>
      <c r="N58">
        <v>1.11111111111111</v>
      </c>
      <c r="O58">
        <v>-2.98148148148148</v>
      </c>
      <c r="P58">
        <v>-5.46296296296296</v>
      </c>
      <c r="Q58">
        <v>0.148148148148152</v>
      </c>
      <c r="R58">
        <v>0.75925925925926</v>
      </c>
      <c r="S58">
        <v>-2.09259259259259</v>
      </c>
    </row>
    <row r="59" spans="3:29">
      <c r="C59">
        <v>0.444444444444444</v>
      </c>
      <c r="D59">
        <v>168.777777777778</v>
      </c>
      <c r="E59">
        <v>63.8888888888889</v>
      </c>
      <c r="F59">
        <v>38.9814814814815</v>
      </c>
      <c r="G59">
        <v>73.462962962963</v>
      </c>
      <c r="H59">
        <v>45.8518518518518</v>
      </c>
      <c r="I59">
        <v>57.2407407407407</v>
      </c>
      <c r="J59">
        <v>43.0925925925926</v>
      </c>
      <c r="L59">
        <v>0.555555555555556</v>
      </c>
      <c r="M59">
        <v>4.22222222222223</v>
      </c>
      <c r="N59">
        <v>0.111111111111114</v>
      </c>
      <c r="O59">
        <v>1.01851851851852</v>
      </c>
      <c r="P59">
        <v>5.53703703703704</v>
      </c>
      <c r="Q59">
        <v>2.14814814814815</v>
      </c>
      <c r="R59">
        <v>-0.74074074074074</v>
      </c>
      <c r="S59">
        <v>3.90740740740741</v>
      </c>
      <c r="V59" cm="1">
        <f t="array" ref="V59:AC66">+MMULT(_xlfn.ANCHORARRAY(V48),_xlfn.ANCHORARRAY(L48))</f>
        <v>6.66666666666667</v>
      </c>
      <c r="W59">
        <v>105.666666666667</v>
      </c>
      <c r="X59">
        <v>124.333333333333</v>
      </c>
      <c r="Y59">
        <v>32.2222222222222</v>
      </c>
      <c r="Z59">
        <v>51.4444444444444</v>
      </c>
      <c r="AA59">
        <v>37.7777777777778</v>
      </c>
      <c r="AB59">
        <v>9.11111111111111</v>
      </c>
      <c r="AC59">
        <v>30.3888888888889</v>
      </c>
    </row>
    <row r="60" spans="3:29">
      <c r="C60">
        <v>0.444444444444444</v>
      </c>
      <c r="D60">
        <v>168.777777777778</v>
      </c>
      <c r="E60">
        <v>63.8888888888889</v>
      </c>
      <c r="F60">
        <v>38.9814814814815</v>
      </c>
      <c r="G60">
        <v>73.462962962963</v>
      </c>
      <c r="H60">
        <v>45.8518518518518</v>
      </c>
      <c r="I60">
        <v>57.2407407407407</v>
      </c>
      <c r="J60">
        <v>43.0925925925926</v>
      </c>
      <c r="L60">
        <v>-0.444444444444444</v>
      </c>
      <c r="M60">
        <v>-10.7777777777778</v>
      </c>
      <c r="N60">
        <v>-20.8888888888889</v>
      </c>
      <c r="O60">
        <v>-2.98148148148148</v>
      </c>
      <c r="P60">
        <v>-5.46296296296296</v>
      </c>
      <c r="Q60">
        <v>-2.85185185185185</v>
      </c>
      <c r="R60">
        <v>-2.24074074074074</v>
      </c>
      <c r="S60">
        <v>-4.09259259259259</v>
      </c>
      <c r="V60">
        <v>105.666666666667</v>
      </c>
      <c r="W60">
        <v>2702.66666666667</v>
      </c>
      <c r="X60">
        <v>2817.33333333333</v>
      </c>
      <c r="Y60">
        <v>704.388888888889</v>
      </c>
      <c r="Z60">
        <v>1192.27777777778</v>
      </c>
      <c r="AA60">
        <v>895.111111111111</v>
      </c>
      <c r="AB60">
        <v>286.944444444444</v>
      </c>
      <c r="AC60">
        <v>706.055555555556</v>
      </c>
    </row>
    <row r="61" spans="3:29">
      <c r="C61">
        <v>0.444444444444444</v>
      </c>
      <c r="D61">
        <v>168.777777777778</v>
      </c>
      <c r="E61">
        <v>63.8888888888889</v>
      </c>
      <c r="F61">
        <v>38.9814814814815</v>
      </c>
      <c r="G61">
        <v>73.462962962963</v>
      </c>
      <c r="H61">
        <v>45.8518518518518</v>
      </c>
      <c r="I61">
        <v>57.2407407407407</v>
      </c>
      <c r="J61">
        <v>43.0925925925926</v>
      </c>
      <c r="L61">
        <v>0.555555555555556</v>
      </c>
      <c r="M61">
        <v>9.22222222222223</v>
      </c>
      <c r="N61">
        <v>10.1111111111111</v>
      </c>
      <c r="O61">
        <v>3.01851851851852</v>
      </c>
      <c r="P61">
        <v>1.53703703703704</v>
      </c>
      <c r="Q61">
        <v>4.14814814814815</v>
      </c>
      <c r="R61">
        <v>1.75925925925926</v>
      </c>
      <c r="S61">
        <v>1.90740740740741</v>
      </c>
      <c r="V61">
        <v>124.333333333333</v>
      </c>
      <c r="W61">
        <v>2817.33333333333</v>
      </c>
      <c r="X61">
        <v>4260.66666666667</v>
      </c>
      <c r="Y61">
        <v>809.944444444444</v>
      </c>
      <c r="Z61">
        <v>1353.38888888889</v>
      </c>
      <c r="AA61">
        <v>1123.55555555556</v>
      </c>
      <c r="AB61">
        <v>379.722222222222</v>
      </c>
      <c r="AC61">
        <v>754.777777777778</v>
      </c>
    </row>
    <row r="62" spans="3:29">
      <c r="C62">
        <v>0.444444444444444</v>
      </c>
      <c r="D62">
        <v>168.777777777778</v>
      </c>
      <c r="E62">
        <v>63.8888888888889</v>
      </c>
      <c r="F62">
        <v>38.9814814814815</v>
      </c>
      <c r="G62">
        <v>73.462962962963</v>
      </c>
      <c r="H62">
        <v>45.8518518518518</v>
      </c>
      <c r="I62">
        <v>57.2407407407407</v>
      </c>
      <c r="J62">
        <v>43.0925925925926</v>
      </c>
      <c r="L62">
        <v>0.555555555555556</v>
      </c>
      <c r="M62">
        <v>12.2222222222222</v>
      </c>
      <c r="N62">
        <v>12.1111111111111</v>
      </c>
      <c r="O62">
        <v>4.01851851851852</v>
      </c>
      <c r="P62">
        <v>9.53703703703704</v>
      </c>
      <c r="Q62">
        <v>5.14814814814815</v>
      </c>
      <c r="R62">
        <v>-0.24074074074074</v>
      </c>
      <c r="S62">
        <v>-0.0925925925925881</v>
      </c>
      <c r="V62">
        <v>32.2222222222222</v>
      </c>
      <c r="W62">
        <v>704.388888888889</v>
      </c>
      <c r="X62">
        <v>809.944444444444</v>
      </c>
      <c r="Y62">
        <v>213.240740740741</v>
      </c>
      <c r="Z62">
        <v>314.481481481481</v>
      </c>
      <c r="AA62">
        <v>238.925925925926</v>
      </c>
      <c r="AB62">
        <v>75.1203703703704</v>
      </c>
      <c r="AC62">
        <v>200.046296296296</v>
      </c>
    </row>
    <row r="63" spans="3:29">
      <c r="C63">
        <v>0.444444444444444</v>
      </c>
      <c r="D63">
        <v>168.777777777778</v>
      </c>
      <c r="E63">
        <v>63.8888888888889</v>
      </c>
      <c r="F63">
        <v>38.9814814814815</v>
      </c>
      <c r="G63">
        <v>73.462962962963</v>
      </c>
      <c r="H63">
        <v>45.8518518518518</v>
      </c>
      <c r="I63">
        <v>57.2407407407407</v>
      </c>
      <c r="J63">
        <v>43.0925925925926</v>
      </c>
      <c r="L63">
        <v>0.555555555555556</v>
      </c>
      <c r="M63">
        <v>13.2222222222222</v>
      </c>
      <c r="N63">
        <v>27.1111111111111</v>
      </c>
      <c r="O63">
        <v>2.01851851851852</v>
      </c>
      <c r="P63">
        <v>9.53703703703704</v>
      </c>
      <c r="Q63">
        <v>7.14814814814815</v>
      </c>
      <c r="R63">
        <v>1.75925925925926</v>
      </c>
      <c r="S63">
        <v>-0.0925925925925881</v>
      </c>
      <c r="V63">
        <v>51.4444444444444</v>
      </c>
      <c r="W63">
        <v>1192.27777777778</v>
      </c>
      <c r="X63">
        <v>1353.38888888889</v>
      </c>
      <c r="Y63">
        <v>314.481481481481</v>
      </c>
      <c r="Z63">
        <v>638.962962962963</v>
      </c>
      <c r="AA63">
        <v>415.351851851852</v>
      </c>
      <c r="AB63">
        <v>112.740740740741</v>
      </c>
      <c r="AC63">
        <v>311.342592592593</v>
      </c>
    </row>
    <row r="64" spans="3:29">
      <c r="C64">
        <v>0.444444444444444</v>
      </c>
      <c r="D64">
        <v>168.777777777778</v>
      </c>
      <c r="E64">
        <v>63.8888888888889</v>
      </c>
      <c r="F64">
        <v>38.9814814814815</v>
      </c>
      <c r="G64">
        <v>73.462962962963</v>
      </c>
      <c r="H64">
        <v>45.8518518518518</v>
      </c>
      <c r="I64">
        <v>57.2407407407407</v>
      </c>
      <c r="J64">
        <v>43.0925925925926</v>
      </c>
      <c r="L64">
        <v>0.555555555555556</v>
      </c>
      <c r="M64">
        <v>7.22222222222223</v>
      </c>
      <c r="N64">
        <v>9.11111111111111</v>
      </c>
      <c r="O64">
        <v>3.01851851851852</v>
      </c>
      <c r="P64">
        <v>4.53703703703704</v>
      </c>
      <c r="Q64">
        <v>2.14814814814815</v>
      </c>
      <c r="R64">
        <v>0.75925925925926</v>
      </c>
      <c r="S64">
        <v>1.90740740740741</v>
      </c>
      <c r="V64">
        <v>37.7777777777778</v>
      </c>
      <c r="W64">
        <v>895.111111111111</v>
      </c>
      <c r="X64">
        <v>1123.55555555556</v>
      </c>
      <c r="Y64">
        <v>238.925925925926</v>
      </c>
      <c r="Z64">
        <v>415.351851851852</v>
      </c>
      <c r="AA64">
        <v>420.407407407407</v>
      </c>
      <c r="AB64">
        <v>120.712962962963</v>
      </c>
      <c r="AC64">
        <v>208.12037037037</v>
      </c>
    </row>
    <row r="65" spans="3:29">
      <c r="C65">
        <v>0.444444444444444</v>
      </c>
      <c r="D65">
        <v>168.777777777778</v>
      </c>
      <c r="E65">
        <v>63.8888888888889</v>
      </c>
      <c r="F65">
        <v>38.9814814814815</v>
      </c>
      <c r="G65">
        <v>73.462962962963</v>
      </c>
      <c r="H65">
        <v>45.8518518518518</v>
      </c>
      <c r="I65">
        <v>57.2407407407407</v>
      </c>
      <c r="J65">
        <v>43.0925925925926</v>
      </c>
      <c r="L65">
        <v>-0.444444444444444</v>
      </c>
      <c r="M65">
        <v>-6.77777777777777</v>
      </c>
      <c r="N65">
        <v>4.11111111111111</v>
      </c>
      <c r="O65">
        <v>0.018518518518519</v>
      </c>
      <c r="P65">
        <v>-1.46296296296296</v>
      </c>
      <c r="Q65">
        <v>-1.85185185185185</v>
      </c>
      <c r="R65">
        <v>1.75925925925926</v>
      </c>
      <c r="S65">
        <v>-1.09259259259259</v>
      </c>
      <c r="V65">
        <v>9.11111111111111</v>
      </c>
      <c r="W65">
        <v>286.944444444444</v>
      </c>
      <c r="X65">
        <v>379.722222222222</v>
      </c>
      <c r="Y65">
        <v>75.1203703703704</v>
      </c>
      <c r="Z65">
        <v>112.740740740741</v>
      </c>
      <c r="AA65">
        <v>120.712962962963</v>
      </c>
      <c r="AB65">
        <v>88.1851851851851</v>
      </c>
      <c r="AC65">
        <v>83.8981481481481</v>
      </c>
    </row>
    <row r="66" spans="3:29">
      <c r="C66">
        <v>0.444444444444444</v>
      </c>
      <c r="D66">
        <v>168.777777777778</v>
      </c>
      <c r="E66">
        <v>63.8888888888889</v>
      </c>
      <c r="F66">
        <v>38.9814814814815</v>
      </c>
      <c r="G66">
        <v>73.462962962963</v>
      </c>
      <c r="H66">
        <v>45.8518518518518</v>
      </c>
      <c r="I66">
        <v>57.2407407407407</v>
      </c>
      <c r="J66">
        <v>43.0925925925926</v>
      </c>
      <c r="L66">
        <v>-0.444444444444444</v>
      </c>
      <c r="M66">
        <v>-12.7777777777778</v>
      </c>
      <c r="N66">
        <v>-11.8888888888889</v>
      </c>
      <c r="O66">
        <v>-2.98148148148148</v>
      </c>
      <c r="P66">
        <v>-6.46296296296296</v>
      </c>
      <c r="Q66">
        <v>-9.85185185185185</v>
      </c>
      <c r="R66">
        <v>-1.24074074074074</v>
      </c>
      <c r="S66">
        <v>-2.09259259259259</v>
      </c>
      <c r="V66">
        <v>30.3888888888889</v>
      </c>
      <c r="W66">
        <v>706.055555555556</v>
      </c>
      <c r="X66">
        <v>754.777777777778</v>
      </c>
      <c r="Y66">
        <v>200.046296296296</v>
      </c>
      <c r="Z66">
        <v>311.342592592593</v>
      </c>
      <c r="AA66">
        <v>208.12037037037</v>
      </c>
      <c r="AB66">
        <v>83.8981481481481</v>
      </c>
      <c r="AC66">
        <v>259.018518518518</v>
      </c>
    </row>
    <row r="67" spans="3:19">
      <c r="C67">
        <v>0.444444444444444</v>
      </c>
      <c r="D67">
        <v>168.777777777778</v>
      </c>
      <c r="E67">
        <v>63.8888888888889</v>
      </c>
      <c r="F67">
        <v>38.9814814814815</v>
      </c>
      <c r="G67">
        <v>73.462962962963</v>
      </c>
      <c r="H67">
        <v>45.8518518518518</v>
      </c>
      <c r="I67">
        <v>57.2407407407407</v>
      </c>
      <c r="J67">
        <v>43.0925925925926</v>
      </c>
      <c r="L67">
        <v>-0.444444444444444</v>
      </c>
      <c r="M67">
        <v>-16.7777777777778</v>
      </c>
      <c r="N67">
        <v>-18.8888888888889</v>
      </c>
      <c r="O67">
        <v>-4.98148148148148</v>
      </c>
      <c r="P67">
        <v>-7.46296296296296</v>
      </c>
      <c r="Q67">
        <v>-5.85185185185185</v>
      </c>
      <c r="R67">
        <v>-2.24074074074074</v>
      </c>
      <c r="S67">
        <v>-5.09259259259259</v>
      </c>
    </row>
    <row r="68" spans="3:29">
      <c r="C68">
        <v>0.444444444444444</v>
      </c>
      <c r="D68">
        <v>168.777777777778</v>
      </c>
      <c r="E68">
        <v>63.8888888888889</v>
      </c>
      <c r="F68">
        <v>38.9814814814815</v>
      </c>
      <c r="G68">
        <v>73.462962962963</v>
      </c>
      <c r="H68">
        <v>45.8518518518518</v>
      </c>
      <c r="I68">
        <v>57.2407407407407</v>
      </c>
      <c r="J68">
        <v>43.0925925925926</v>
      </c>
      <c r="L68">
        <v>0.555555555555556</v>
      </c>
      <c r="M68">
        <v>12.2222222222222</v>
      </c>
      <c r="N68">
        <v>16.1111111111111</v>
      </c>
      <c r="O68">
        <v>4.01851851851852</v>
      </c>
      <c r="P68">
        <v>2.53703703703704</v>
      </c>
      <c r="Q68">
        <v>3.14814814814815</v>
      </c>
      <c r="R68">
        <v>-0.24074074074074</v>
      </c>
      <c r="S68">
        <v>2.90740740740741</v>
      </c>
      <c r="V68" s="8" cm="1">
        <f t="array" ref="V68:AC75">+D78*_xlfn.ANCHORARRAY(V59)</f>
        <v>0.256410256410256</v>
      </c>
      <c r="W68" s="8">
        <v>4.06410256410256</v>
      </c>
      <c r="X68" s="8">
        <v>4.78205128205128</v>
      </c>
      <c r="Y68" s="8">
        <v>1.23931623931624</v>
      </c>
      <c r="Z68" s="8">
        <v>1.97863247863248</v>
      </c>
      <c r="AA68" s="8">
        <v>1.45299145299145</v>
      </c>
      <c r="AB68" s="8">
        <v>0.35042735042735</v>
      </c>
      <c r="AC68" s="8">
        <v>1.16880341880342</v>
      </c>
    </row>
    <row r="69" spans="3:29">
      <c r="C69">
        <v>0.444444444444444</v>
      </c>
      <c r="D69">
        <v>168.777777777778</v>
      </c>
      <c r="E69">
        <v>63.8888888888889</v>
      </c>
      <c r="F69">
        <v>38.9814814814815</v>
      </c>
      <c r="G69">
        <v>73.462962962963</v>
      </c>
      <c r="H69">
        <v>45.8518518518518</v>
      </c>
      <c r="I69">
        <v>57.2407407407407</v>
      </c>
      <c r="J69">
        <v>43.0925925925926</v>
      </c>
      <c r="L69">
        <v>0.555555555555556</v>
      </c>
      <c r="M69">
        <v>4.22222222222223</v>
      </c>
      <c r="N69">
        <v>5.11111111111111</v>
      </c>
      <c r="O69">
        <v>2.01851851851852</v>
      </c>
      <c r="P69">
        <v>0.537037037037038</v>
      </c>
      <c r="Q69">
        <v>2.14814814814815</v>
      </c>
      <c r="R69">
        <v>-1.24074074074074</v>
      </c>
      <c r="S69">
        <v>0.907407407407412</v>
      </c>
      <c r="V69" s="8">
        <v>4.06410256410256</v>
      </c>
      <c r="W69" s="8">
        <v>103.948717948718</v>
      </c>
      <c r="X69" s="8">
        <v>108.358974358974</v>
      </c>
      <c r="Y69" s="8">
        <v>27.0918803418803</v>
      </c>
      <c r="Z69" s="8">
        <v>45.8568376068376</v>
      </c>
      <c r="AA69" s="8">
        <v>34.4273504273504</v>
      </c>
      <c r="AB69" s="8">
        <v>11.0363247863248</v>
      </c>
      <c r="AC69" s="8">
        <v>27.1559829059829</v>
      </c>
    </row>
    <row r="70" spans="3:29">
      <c r="C70">
        <v>0.444444444444444</v>
      </c>
      <c r="D70">
        <v>168.777777777778</v>
      </c>
      <c r="E70">
        <v>63.8888888888889</v>
      </c>
      <c r="F70">
        <v>38.9814814814815</v>
      </c>
      <c r="G70">
        <v>73.462962962963</v>
      </c>
      <c r="H70">
        <v>45.8518518518518</v>
      </c>
      <c r="I70">
        <v>57.2407407407407</v>
      </c>
      <c r="J70">
        <v>43.0925925925926</v>
      </c>
      <c r="L70">
        <v>-0.444444444444444</v>
      </c>
      <c r="M70">
        <v>-13.7777777777778</v>
      </c>
      <c r="N70">
        <v>-10.8888888888889</v>
      </c>
      <c r="O70">
        <v>-2.98148148148148</v>
      </c>
      <c r="P70">
        <v>-6.46296296296296</v>
      </c>
      <c r="Q70">
        <v>-2.85185185185185</v>
      </c>
      <c r="R70">
        <v>-1.24074074074074</v>
      </c>
      <c r="S70">
        <v>-5.09259259259259</v>
      </c>
      <c r="V70" s="8">
        <v>4.78205128205128</v>
      </c>
      <c r="W70" s="8">
        <v>108.358974358974</v>
      </c>
      <c r="X70" s="8">
        <v>163.871794871795</v>
      </c>
      <c r="Y70" s="8">
        <v>31.1517094017094</v>
      </c>
      <c r="Z70" s="8">
        <v>52.0534188034188</v>
      </c>
      <c r="AA70" s="8">
        <v>43.2136752136752</v>
      </c>
      <c r="AB70" s="8">
        <v>14.6047008547009</v>
      </c>
      <c r="AC70" s="8">
        <v>29.0299145299145</v>
      </c>
    </row>
    <row r="71" spans="3:29">
      <c r="C71">
        <v>0.444444444444444</v>
      </c>
      <c r="D71">
        <v>168.777777777778</v>
      </c>
      <c r="E71">
        <v>63.8888888888889</v>
      </c>
      <c r="F71">
        <v>38.9814814814815</v>
      </c>
      <c r="G71">
        <v>73.462962962963</v>
      </c>
      <c r="H71">
        <v>45.8518518518518</v>
      </c>
      <c r="I71">
        <v>57.2407407407407</v>
      </c>
      <c r="J71">
        <v>43.0925925925926</v>
      </c>
      <c r="L71">
        <v>0.555555555555556</v>
      </c>
      <c r="M71">
        <v>20.2222222222222</v>
      </c>
      <c r="N71">
        <v>23.1111111111111</v>
      </c>
      <c r="O71">
        <v>6.01851851851852</v>
      </c>
      <c r="P71">
        <v>8.53703703703704</v>
      </c>
      <c r="Q71">
        <v>7.14814814814815</v>
      </c>
      <c r="R71">
        <v>3.75925925925926</v>
      </c>
      <c r="S71">
        <v>8.90740740740741</v>
      </c>
      <c r="V71" s="8">
        <v>1.23931623931624</v>
      </c>
      <c r="W71" s="8">
        <v>27.0918803418803</v>
      </c>
      <c r="X71" s="8">
        <v>31.1517094017094</v>
      </c>
      <c r="Y71" s="8">
        <v>8.20156695156695</v>
      </c>
      <c r="Z71" s="8">
        <v>12.0954415954416</v>
      </c>
      <c r="AA71" s="8">
        <v>9.18945868945869</v>
      </c>
      <c r="AB71" s="8">
        <v>2.88924501424501</v>
      </c>
      <c r="AC71" s="8">
        <v>7.69408831908832</v>
      </c>
    </row>
    <row r="72" spans="3:29">
      <c r="C72">
        <v>0.444444444444444</v>
      </c>
      <c r="D72">
        <v>168.777777777778</v>
      </c>
      <c r="E72">
        <v>63.8888888888889</v>
      </c>
      <c r="F72">
        <v>38.9814814814815</v>
      </c>
      <c r="G72">
        <v>73.462962962963</v>
      </c>
      <c r="H72">
        <v>45.8518518518518</v>
      </c>
      <c r="I72">
        <v>57.2407407407407</v>
      </c>
      <c r="J72">
        <v>43.0925925925926</v>
      </c>
      <c r="L72">
        <v>-0.444444444444444</v>
      </c>
      <c r="M72">
        <v>1.22222222222223</v>
      </c>
      <c r="N72">
        <v>6.11111111111111</v>
      </c>
      <c r="O72">
        <v>-0.981481481481481</v>
      </c>
      <c r="P72">
        <v>-0.462962962962962</v>
      </c>
      <c r="Q72">
        <v>-0.851851851851848</v>
      </c>
      <c r="R72">
        <v>-1.24074074074074</v>
      </c>
      <c r="S72">
        <v>-0.0925925925925881</v>
      </c>
      <c r="V72" s="8">
        <v>1.97863247863248</v>
      </c>
      <c r="W72" s="8">
        <v>45.8568376068376</v>
      </c>
      <c r="X72" s="8">
        <v>52.0534188034188</v>
      </c>
      <c r="Y72" s="8">
        <v>12.0954415954416</v>
      </c>
      <c r="Z72" s="8">
        <v>24.5754985754986</v>
      </c>
      <c r="AA72" s="8">
        <v>15.9750712250712</v>
      </c>
      <c r="AB72" s="8">
        <v>4.33618233618234</v>
      </c>
      <c r="AC72" s="8">
        <v>11.9747150997151</v>
      </c>
    </row>
    <row r="73" spans="3:29">
      <c r="C73">
        <v>0.444444444444444</v>
      </c>
      <c r="D73">
        <v>168.777777777778</v>
      </c>
      <c r="E73">
        <v>63.8888888888889</v>
      </c>
      <c r="F73">
        <v>38.9814814814815</v>
      </c>
      <c r="G73">
        <v>73.462962962963</v>
      </c>
      <c r="H73">
        <v>45.8518518518518</v>
      </c>
      <c r="I73">
        <v>57.2407407407407</v>
      </c>
      <c r="J73">
        <v>43.0925925925926</v>
      </c>
      <c r="L73">
        <v>0.555555555555556</v>
      </c>
      <c r="M73">
        <v>1.22222222222223</v>
      </c>
      <c r="N73">
        <v>3.11111111111111</v>
      </c>
      <c r="O73">
        <v>1.01851851851852</v>
      </c>
      <c r="P73">
        <v>3.53703703703704</v>
      </c>
      <c r="Q73">
        <v>0.648148148148152</v>
      </c>
      <c r="R73">
        <v>0.75925925925926</v>
      </c>
      <c r="S73">
        <v>1.40740740740741</v>
      </c>
      <c r="V73" s="8">
        <v>1.45299145299145</v>
      </c>
      <c r="W73" s="8">
        <v>34.4273504273504</v>
      </c>
      <c r="X73" s="8">
        <v>43.2136752136752</v>
      </c>
      <c r="Y73" s="8">
        <v>9.18945868945869</v>
      </c>
      <c r="Z73" s="8">
        <v>15.9750712250712</v>
      </c>
      <c r="AA73" s="8">
        <v>16.1695156695157</v>
      </c>
      <c r="AB73" s="8">
        <v>4.64280626780627</v>
      </c>
      <c r="AC73" s="8">
        <v>8.00462962962963</v>
      </c>
    </row>
    <row r="74" spans="3:29">
      <c r="C74">
        <v>0.444444444444444</v>
      </c>
      <c r="D74">
        <v>168.777777777778</v>
      </c>
      <c r="E74">
        <v>63.8888888888889</v>
      </c>
      <c r="F74">
        <v>38.9814814814815</v>
      </c>
      <c r="G74">
        <v>73.462962962963</v>
      </c>
      <c r="H74">
        <v>45.8518518518518</v>
      </c>
      <c r="I74">
        <v>57.2407407407407</v>
      </c>
      <c r="J74">
        <v>43.0925925925926</v>
      </c>
      <c r="L74">
        <v>-0.444444444444444</v>
      </c>
      <c r="M74">
        <v>-0.777777777777771</v>
      </c>
      <c r="N74">
        <v>-7.88888888888889</v>
      </c>
      <c r="O74">
        <v>-1.48148148148148</v>
      </c>
      <c r="P74">
        <v>-2.96296296296296</v>
      </c>
      <c r="Q74">
        <v>2.14814814814815</v>
      </c>
      <c r="R74">
        <v>2.75925925925926</v>
      </c>
      <c r="S74">
        <v>-3.09259259259259</v>
      </c>
      <c r="V74" s="8">
        <v>0.35042735042735</v>
      </c>
      <c r="W74" s="8">
        <v>11.0363247863248</v>
      </c>
      <c r="X74" s="8">
        <v>14.6047008547009</v>
      </c>
      <c r="Y74" s="8">
        <v>2.88924501424501</v>
      </c>
      <c r="Z74" s="8">
        <v>4.33618233618234</v>
      </c>
      <c r="AA74" s="8">
        <v>4.64280626780627</v>
      </c>
      <c r="AB74" s="8">
        <v>3.39173789173789</v>
      </c>
      <c r="AC74" s="8">
        <v>3.22685185185185</v>
      </c>
    </row>
    <row r="75" spans="22:29">
      <c r="V75" s="8">
        <v>1.16880341880342</v>
      </c>
      <c r="W75" s="8">
        <v>27.1559829059829</v>
      </c>
      <c r="X75" s="8">
        <v>29.0299145299145</v>
      </c>
      <c r="Y75" s="8">
        <v>7.69408831908832</v>
      </c>
      <c r="Z75" s="8">
        <v>11.9747150997151</v>
      </c>
      <c r="AA75" s="8">
        <v>8.00462962962963</v>
      </c>
      <c r="AB75" s="8">
        <v>3.22685185185185</v>
      </c>
      <c r="AC75" s="8">
        <v>9.96225071225071</v>
      </c>
    </row>
    <row r="78" spans="3:29">
      <c r="C78" s="7"/>
      <c r="D78">
        <f>1/26</f>
        <v>0.0384615384615385</v>
      </c>
      <c r="L78">
        <f>1/SQRT(V68)</f>
        <v>1.97484176581315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V78">
        <f>+(V68)^(1/2)</f>
        <v>0.506369683541833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2:29">
      <c r="L79">
        <v>0</v>
      </c>
      <c r="M79">
        <f>1/SQRT(W69)</f>
        <v>0.0980822525657772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/>
      <c r="V79">
        <v>0</v>
      </c>
      <c r="W79">
        <f>+(W69)^(1/2)</f>
        <v>10.1955244077349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2:29">
      <c r="L80">
        <v>0</v>
      </c>
      <c r="M80">
        <v>0</v>
      </c>
      <c r="N80">
        <f>1/SQRT(X70)</f>
        <v>0.0781174206149705</v>
      </c>
      <c r="O80">
        <v>0</v>
      </c>
      <c r="P80">
        <v>0</v>
      </c>
      <c r="Q80">
        <v>0</v>
      </c>
      <c r="R80">
        <v>0</v>
      </c>
      <c r="S80">
        <v>0</v>
      </c>
      <c r="T80"/>
      <c r="V80">
        <v>0</v>
      </c>
      <c r="W80">
        <v>0</v>
      </c>
      <c r="X80">
        <f>+(X70)^(1/2)</f>
        <v>12.8012419269302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2:29">
      <c r="L81">
        <v>0</v>
      </c>
      <c r="M81">
        <v>0</v>
      </c>
      <c r="N81">
        <v>0</v>
      </c>
      <c r="O81">
        <f>1/SQRT(Y71)</f>
        <v>0.349181786615814</v>
      </c>
      <c r="P81">
        <v>0</v>
      </c>
      <c r="Q81">
        <v>0</v>
      </c>
      <c r="R81">
        <v>0</v>
      </c>
      <c r="S81">
        <v>0</v>
      </c>
      <c r="T81"/>
      <c r="V81">
        <v>0</v>
      </c>
      <c r="W81">
        <v>0</v>
      </c>
      <c r="X81">
        <v>0</v>
      </c>
      <c r="Y81">
        <f>+(Y71)^(1/2)</f>
        <v>2.86383780119736</v>
      </c>
      <c r="Z81">
        <v>0</v>
      </c>
      <c r="AA81">
        <v>0</v>
      </c>
      <c r="AB81">
        <v>0</v>
      </c>
      <c r="AC81">
        <v>0</v>
      </c>
    </row>
    <row r="82" spans="12:29">
      <c r="L82">
        <v>0</v>
      </c>
      <c r="M82">
        <v>0</v>
      </c>
      <c r="N82">
        <v>0</v>
      </c>
      <c r="O82">
        <v>0</v>
      </c>
      <c r="P82">
        <f>1/SQRT(Z72)</f>
        <v>0.201719940472972</v>
      </c>
      <c r="Q82">
        <v>0</v>
      </c>
      <c r="R82">
        <v>0</v>
      </c>
      <c r="S82">
        <v>0</v>
      </c>
      <c r="T82"/>
      <c r="V82">
        <v>0</v>
      </c>
      <c r="W82">
        <v>0</v>
      </c>
      <c r="X82">
        <v>0</v>
      </c>
      <c r="Y82">
        <v>0</v>
      </c>
      <c r="Z82">
        <f>+(Z72)^(1/2)</f>
        <v>4.95736810974317</v>
      </c>
      <c r="AA82">
        <v>0</v>
      </c>
      <c r="AB82">
        <v>0</v>
      </c>
      <c r="AC82">
        <v>0</v>
      </c>
    </row>
    <row r="83" spans="12:29">
      <c r="L83">
        <v>0</v>
      </c>
      <c r="M83">
        <v>0</v>
      </c>
      <c r="N83">
        <v>0</v>
      </c>
      <c r="O83">
        <v>0</v>
      </c>
      <c r="P83">
        <v>0</v>
      </c>
      <c r="Q83">
        <f>1/SQRT(AA73)</f>
        <v>0.248686090052864</v>
      </c>
      <c r="R83">
        <v>0</v>
      </c>
      <c r="S83">
        <v>0</v>
      </c>
      <c r="T83"/>
      <c r="V83">
        <v>0</v>
      </c>
      <c r="W83">
        <v>0</v>
      </c>
      <c r="X83">
        <v>0</v>
      </c>
      <c r="Y83">
        <v>0</v>
      </c>
      <c r="Z83">
        <v>0</v>
      </c>
      <c r="AA83">
        <f>+(AA73)^(1/2)</f>
        <v>4.02113362990036</v>
      </c>
      <c r="AB83">
        <v>0</v>
      </c>
      <c r="AC83">
        <v>0</v>
      </c>
    </row>
    <row r="84" spans="12:29"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f>1/SQRT(AB74)</f>
        <v>0.542986282808262</v>
      </c>
      <c r="S84">
        <v>0</v>
      </c>
      <c r="T84"/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f>+(AB74)^(1/2)</f>
        <v>1.84166715009469</v>
      </c>
      <c r="AC84">
        <v>0</v>
      </c>
    </row>
    <row r="85" spans="12:29"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f>1/SQRT(AC75)</f>
        <v>0.316826329849507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f>+(AC75)^(1/2)</f>
        <v>3.15630333020303</v>
      </c>
    </row>
    <row r="89" spans="12:19">
      <c r="L89" cm="1">
        <f t="array" ref="L89:S96">MMULT(L78:S85,_xlfn.ANCHORARRAY(V68))</f>
        <v>0.506369683541833</v>
      </c>
      <c r="M89">
        <v>8.02595948413806</v>
      </c>
      <c r="N89">
        <v>9.44379459805519</v>
      </c>
      <c r="O89">
        <v>2.44745347045219</v>
      </c>
      <c r="P89">
        <v>3.90748605799781</v>
      </c>
      <c r="Q89">
        <v>2.86942820673706</v>
      </c>
      <c r="R89">
        <v>0.692038567507172</v>
      </c>
      <c r="S89">
        <v>2.30820180747819</v>
      </c>
    </row>
    <row r="90" spans="12:19">
      <c r="L90">
        <v>0.39861633414553</v>
      </c>
      <c r="M90">
        <v>10.1955244077349</v>
      </c>
      <c r="N90">
        <v>10.6280922908455</v>
      </c>
      <c r="O90">
        <v>2.65723265017412</v>
      </c>
      <c r="P90">
        <v>4.49774192802168</v>
      </c>
      <c r="Q90">
        <v>3.3767120797859</v>
      </c>
      <c r="R90">
        <v>1.08246759509025</v>
      </c>
      <c r="S90">
        <v>2.66351997405654</v>
      </c>
    </row>
    <row r="91" spans="12:19">
      <c r="L91">
        <v>0.373561511402359</v>
      </c>
      <c r="M91">
        <v>8.46472357740681</v>
      </c>
      <c r="N91">
        <v>12.8012419269302</v>
      </c>
      <c r="O91">
        <v>2.43349118620867</v>
      </c>
      <c r="P91">
        <v>4.06627881111388</v>
      </c>
      <c r="Q91">
        <v>3.37574084298539</v>
      </c>
      <c r="R91">
        <v>1.14088155962249</v>
      </c>
      <c r="S91">
        <v>2.26774204374998</v>
      </c>
    </row>
    <row r="92" spans="12:19">
      <c r="L92">
        <v>0.432746658626436</v>
      </c>
      <c r="M92">
        <v>9.45999118055963</v>
      </c>
      <c r="N92">
        <v>10.8776095450255</v>
      </c>
      <c r="O92">
        <v>2.86383780119736</v>
      </c>
      <c r="P92">
        <v>4.22350790620353</v>
      </c>
      <c r="Q92">
        <v>3.2087916032174</v>
      </c>
      <c r="R92">
        <v>1.00887173604491</v>
      </c>
      <c r="S92">
        <v>2.68663550563912</v>
      </c>
    </row>
    <row r="93" spans="12:19">
      <c r="L93">
        <v>0.399129625807632</v>
      </c>
      <c r="M93">
        <v>9.25023855233001</v>
      </c>
      <c r="N93">
        <v>10.5002125424403</v>
      </c>
      <c r="O93">
        <v>2.43989175862678</v>
      </c>
      <c r="P93">
        <v>4.95736810974317</v>
      </c>
      <c r="Q93">
        <v>3.22249041657285</v>
      </c>
      <c r="R93">
        <v>0.874694442734652</v>
      </c>
      <c r="S93">
        <v>2.41553881709532</v>
      </c>
    </row>
    <row r="94" spans="12:19">
      <c r="L94">
        <v>0.361338763324674</v>
      </c>
      <c r="M94">
        <v>8.56160316865756</v>
      </c>
      <c r="N94">
        <v>10.7466399257032</v>
      </c>
      <c r="O94">
        <v>2.28529055118379</v>
      </c>
      <c r="P94">
        <v>3.97277800127897</v>
      </c>
      <c r="Q94">
        <v>4.02113362990036</v>
      </c>
      <c r="R94">
        <v>1.15460133761367</v>
      </c>
      <c r="S94">
        <v>1.99064004491389</v>
      </c>
    </row>
    <row r="95" spans="12:19">
      <c r="L95">
        <v>0.190277244402895</v>
      </c>
      <c r="M95">
        <v>5.99257297159118</v>
      </c>
      <c r="N95">
        <v>7.93015222862066</v>
      </c>
      <c r="O95">
        <v>1.5688204104072</v>
      </c>
      <c r="P95">
        <v>2.35448752830249</v>
      </c>
      <c r="Q95">
        <v>2.52098011715503</v>
      </c>
      <c r="R95">
        <v>1.84166715009469</v>
      </c>
      <c r="S95">
        <v>1.75213629220999</v>
      </c>
    </row>
    <row r="96" spans="12:19">
      <c r="L96">
        <v>0.370307697495043</v>
      </c>
      <c r="M96">
        <v>8.6037303975585</v>
      </c>
      <c r="N96">
        <v>9.19744127635769</v>
      </c>
      <c r="O96">
        <v>2.43768976367471</v>
      </c>
      <c r="P96">
        <v>3.7939050360362</v>
      </c>
      <c r="Q96">
        <v>2.53607742736017</v>
      </c>
      <c r="R96">
        <v>1.02235162919031</v>
      </c>
      <c r="S96">
        <v>3.15630333020303</v>
      </c>
    </row>
    <row r="100" spans="12:19">
      <c r="L100" cm="1">
        <f t="array" ref="L100:S107">MMULT(_xlfn.ANCHORARRAY(L89),L78:S85)</f>
        <v>1</v>
      </c>
      <c r="M100">
        <v>0.787204185205924</v>
      </c>
      <c r="N100">
        <v>0.737724874817664</v>
      </c>
      <c r="O100">
        <v>0.854606175471571</v>
      </c>
      <c r="P100">
        <v>0.788217855018285</v>
      </c>
      <c r="Q100">
        <v>0.713586881420838</v>
      </c>
      <c r="R100">
        <v>0.375767449330674</v>
      </c>
      <c r="S100">
        <v>0.731299107215312</v>
      </c>
    </row>
    <row r="101" spans="12:19">
      <c r="L101">
        <v>0.787204185205924</v>
      </c>
      <c r="M101">
        <v>1</v>
      </c>
      <c r="N101">
        <v>0.830239155818704</v>
      </c>
      <c r="O101">
        <v>0.927857244241675</v>
      </c>
      <c r="P101">
        <v>0.907284233983321</v>
      </c>
      <c r="Q101">
        <v>0.839741324356229</v>
      </c>
      <c r="R101">
        <v>0.587765055718456</v>
      </c>
      <c r="S101">
        <v>0.843873257861188</v>
      </c>
    </row>
    <row r="102" spans="12:19">
      <c r="L102">
        <v>0.737724874817664</v>
      </c>
      <c r="M102">
        <v>0.830239155818704</v>
      </c>
      <c r="N102">
        <v>1</v>
      </c>
      <c r="O102">
        <v>0.849730800114178</v>
      </c>
      <c r="P102">
        <v>0.820249519724398</v>
      </c>
      <c r="Q102">
        <v>0.839499791273795</v>
      </c>
      <c r="R102">
        <v>0.619483037183906</v>
      </c>
      <c r="S102">
        <v>0.718480388766725</v>
      </c>
    </row>
    <row r="103" spans="12:19">
      <c r="L103">
        <v>0.854606175471571</v>
      </c>
      <c r="M103">
        <v>0.927857244241675</v>
      </c>
      <c r="N103">
        <v>0.849730800114178</v>
      </c>
      <c r="O103">
        <v>1</v>
      </c>
      <c r="P103">
        <v>0.851965763426501</v>
      </c>
      <c r="Q103">
        <v>0.797981837598596</v>
      </c>
      <c r="R103">
        <v>0.547803513785342</v>
      </c>
      <c r="S103">
        <v>0.851196866895017</v>
      </c>
    </row>
    <row r="104" spans="12:19">
      <c r="L104">
        <v>0.788217855018286</v>
      </c>
      <c r="M104">
        <v>0.907284233983321</v>
      </c>
      <c r="N104">
        <v>0.820249519724398</v>
      </c>
      <c r="O104">
        <v>0.851965763426501</v>
      </c>
      <c r="P104">
        <v>1</v>
      </c>
      <c r="Q104">
        <v>0.801388541930326</v>
      </c>
      <c r="R104">
        <v>0.474947084053533</v>
      </c>
      <c r="S104">
        <v>0.76530629802933</v>
      </c>
    </row>
    <row r="105" spans="12:19">
      <c r="L105">
        <v>0.713586881420838</v>
      </c>
      <c r="M105">
        <v>0.839741324356229</v>
      </c>
      <c r="N105">
        <v>0.839499791273795</v>
      </c>
      <c r="O105">
        <v>0.797981837598596</v>
      </c>
      <c r="P105">
        <v>0.801388541930326</v>
      </c>
      <c r="Q105">
        <v>1</v>
      </c>
      <c r="R105">
        <v>0.626932688436293</v>
      </c>
      <c r="S105">
        <v>0.630687179481526</v>
      </c>
    </row>
    <row r="106" spans="12:19">
      <c r="L106">
        <v>0.375767449330674</v>
      </c>
      <c r="M106">
        <v>0.587765055718456</v>
      </c>
      <c r="N106">
        <v>0.619483037183906</v>
      </c>
      <c r="O106">
        <v>0.547803513785342</v>
      </c>
      <c r="P106">
        <v>0.474947084053533</v>
      </c>
      <c r="Q106">
        <v>0.626932688436293</v>
      </c>
      <c r="R106">
        <v>1</v>
      </c>
      <c r="S106">
        <v>0.555122910857015</v>
      </c>
    </row>
    <row r="107" spans="12:19">
      <c r="L107">
        <v>0.731299107215313</v>
      </c>
      <c r="M107">
        <v>0.843873257861188</v>
      </c>
      <c r="N107">
        <v>0.718480388766725</v>
      </c>
      <c r="O107">
        <v>0.851196866895017</v>
      </c>
      <c r="P107">
        <v>0.76530629802933</v>
      </c>
      <c r="Q107">
        <v>0.630687179481526</v>
      </c>
      <c r="R107">
        <v>0.555122910857015</v>
      </c>
      <c r="S10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</dc:creator>
  <cp:lastModifiedBy>jerem</cp:lastModifiedBy>
  <dcterms:created xsi:type="dcterms:W3CDTF">2026-08-13T01:11:00Z</dcterms:created>
  <dcterms:modified xsi:type="dcterms:W3CDTF">2026-08-13T03:46:49Z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83ABA91F7AB8459DAA175614FB85F52D_11</vt:lpwstr>
  </property>
  <property fmtid="{D5CDD505-2E9C-101B-9397-08002B2CF9AE}" pid="3" name="KSOProductBuildVer">
    <vt:lpwstr>3082-12.2.0.23206</vt:lpwstr>
  </property>
</Properties>
</file>